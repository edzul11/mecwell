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oracidsa-my.sharepoint.com/personal/pleon_noracid_cl/Documents/Escritorio/"/>
    </mc:Choice>
  </mc:AlternateContent>
  <xr:revisionPtr revIDLastSave="6" documentId="13_ncr:1_{3AE53D97-26C0-4574-BD07-D2F2E7783D55}" xr6:coauthVersionLast="47" xr6:coauthVersionMax="47" xr10:uidLastSave="{9CDB7E9E-EFD8-4A23-B2C6-E71EB4211D5E}"/>
  <bookViews>
    <workbookView xWindow="-120" yWindow="-120" windowWidth="29040" windowHeight="15720" tabRatio="879" xr2:uid="{00000000-000D-0000-FFFF-FFFF00000000}"/>
  </bookViews>
  <sheets>
    <sheet name="Formato" sheetId="6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BAS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Order1" hidden="1">255</definedName>
    <definedName name="_Order2" hidden="1">255</definedName>
    <definedName name="_us96">#REF!</definedName>
    <definedName name="a">[1]CMON!$D$14:$V$17</definedName>
    <definedName name="A_impresión_IM">#REF!</definedName>
    <definedName name="aaa">[1]CMON!$D$51:$V$54</definedName>
    <definedName name="add">#REF!</definedName>
    <definedName name="Alternativa">#REF!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ño">#REF!</definedName>
    <definedName name="AP_DAT">[1]AVF!$X$7:$Z$21</definedName>
    <definedName name="API">#REF!</definedName>
    <definedName name="_xlnm.Extract">[2]SVF715!#REF!</definedName>
    <definedName name="_xlnm.Print_Area" localSheetId="0">Formato!$A$1:$AG$56</definedName>
    <definedName name="BAS">#REF!</definedName>
    <definedName name="BOM">#REF!</definedName>
    <definedName name="CALIBRE">[3]BD!$K$5:$K$65</definedName>
    <definedName name="cat">#REF!</definedName>
    <definedName name="CATEG">[4]Mar14!#REF!</definedName>
    <definedName name="CONDUCTOR">[3]BD!$L$5:$L$14</definedName>
    <definedName name="CORG">[1]INC!$Y$2:$Y$291</definedName>
    <definedName name="CPER">[1]RES!$H$5</definedName>
    <definedName name="cperr">[5]RES!$H$5</definedName>
    <definedName name="_xlnm.Criteria">[2]SVF715!#REF!</definedName>
    <definedName name="cuentas">#REF!</definedName>
    <definedName name="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_AREA">[1]DATOS!$C$3</definedName>
    <definedName name="D_CODE">[1]DATOS!$C$1</definedName>
    <definedName name="D_DIV">[1]DATOS!$C$4</definedName>
    <definedName name="D_JP">[6]DATOS!$C$2</definedName>
    <definedName name="DAJ">[7]D!$M$3:$M$173</definedName>
    <definedName name="DATOS">[1]INC!$B$1:$Y$291</definedName>
    <definedName name="DDATE">[7]D!$E$3:$E$173</definedName>
    <definedName name="DDES">[7]D!$J$3:$J$173</definedName>
    <definedName name="dens19">[8]SV1!#REF!</definedName>
    <definedName name="dep">[7]D!$D$3:$D$173</definedName>
    <definedName name="DMCOB">[7]D!$L$3:$L$173</definedName>
    <definedName name="DSV">[7]D!$C$3:$C$173</definedName>
    <definedName name="e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e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BCOSTO">[1]CMON!$D$14:$V$17</definedName>
    <definedName name="FCAVF">[1]AVF!$D$49:$U$53</definedName>
    <definedName name="FCAVFD">[1]AVF!$C$32:$U$47</definedName>
    <definedName name="FCCOSTO">[1]CMON!$C$38:$V$43</definedName>
    <definedName name="FCM">[1]CMON!$D$51:$V$54</definedName>
    <definedName name="FE">#REF!</definedName>
    <definedName name="FE_C">[1]RESU!$D$3</definedName>
    <definedName name="FE_I">[1]RESU!$D$1</definedName>
    <definedName name="FE_T">[1]RESU!$D$2</definedName>
    <definedName name="felipe" hidden="1">{"CI+GG(BASE)",#N/A,FALSE,"CI+GG(BASE)";"GG",#N/A,FALSE,"CI+GG(BASE)";"CI",#N/A,FALSE,"CI+GG(BASE)"}</definedName>
    <definedName name="FN">#REF!</definedName>
    <definedName name="FNC">#REF!</definedName>
    <definedName name="FPAVF">[1]AVF!$D$23:$U$27</definedName>
    <definedName name="FPAVFD">[1]AVF!$C$7:$U$21</definedName>
    <definedName name="FPCOSTO">[1]CMON!$C$6:$V$12</definedName>
    <definedName name="FPER">[1]RES!$G$5</definedName>
    <definedName name="FXCOSTO">[1]CMON!$D$45:$V$48</definedName>
    <definedName name="FZCOSTO">[1]CMON!$D$32:$V$35</definedName>
    <definedName name="Gastón" hidden="1">{"CI+GG(BASE)",#N/A,FALSE,"CI+GG(BASE)";"GG",#N/A,FALSE,"CI+GG(BASE)";"CI",#N/A,FALSE,"CI+GG(BASE)"}</definedName>
    <definedName name="grafos">#REF!</definedName>
    <definedName name="h">[1]CMON!#REF!</definedName>
    <definedName name="hc">#REF!</definedName>
    <definedName name="hola">#REF!</definedName>
    <definedName name="hola1">#REF!</definedName>
    <definedName name="IAÑO">[1]INC!$F$2:$F$291</definedName>
    <definedName name="ICONT">[1]INC!$M$2:$M$291</definedName>
    <definedName name="ICOSTO">[1]INC!$L$2:$L$291</definedName>
    <definedName name="ICOSTOC">[1]INC!$N$2:$N$291</definedName>
    <definedName name="IDATE">[1]INC!$E$2:$E$291</definedName>
    <definedName name="IFA">[1]INC!$C$2:$C$291</definedName>
    <definedName name="IGRAF">[1]INC!$B$2:$B$291</definedName>
    <definedName name="IIT">[1]INC!$D$2:$D$291</definedName>
    <definedName name="IMON">[1]INC!$H$2:$H$291</definedName>
    <definedName name="Inversión_Actual">#REF!</definedName>
    <definedName name="Inversiones">#REF!</definedName>
    <definedName name="IPER">[1]RES!$F$5</definedName>
    <definedName name="IRES">[1]INC!#REF!</definedName>
    <definedName name="ISAP">[1]INC!$R$2:$R$291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ACU">#N/A</definedName>
    <definedName name="MAG">[4]Mar14!#REF!</definedName>
    <definedName name="Nombre">#REF!</definedName>
    <definedName name="OCOMP">[1]INC!$V$2:$V$291</definedName>
    <definedName name="OOC">[1]INC!$T$2:$T$291</definedName>
    <definedName name="ORG">[1]INC!$X$2:$X$291</definedName>
    <definedName name="OTRAF">[1]INC!$S$2:$S$291</definedName>
    <definedName name="OXCOMP">[1]INC!$W$2:$W$291</definedName>
    <definedName name="p">#REF!</definedName>
    <definedName name="PA">#REF!</definedName>
    <definedName name="PB">#REF!</definedName>
    <definedName name="PCONT">[1]INC!$J$2:$J$291</definedName>
    <definedName name="PCOSTO">[1]INC!$I$2:$I$291</definedName>
    <definedName name="PCOSTOC">[1]INC!$K$2:$K$291</definedName>
    <definedName name="PED">#REF!</definedName>
    <definedName name="PIPE">#REF!</definedName>
    <definedName name="pipe1">#REF!</definedName>
    <definedName name="Poc.Nac">#REF!</definedName>
    <definedName name="Por.Imp">#REF!</definedName>
    <definedName name="PREC">[4]Mar14!#REF!</definedName>
    <definedName name="Q_DATE">[1]RES!$V$8</definedName>
    <definedName name="Q_IT">[1]RES!$V$9</definedName>
    <definedName name="R_COSTO">[1]RES!$D$8:$Q$23</definedName>
    <definedName name="RCFASE">[1]RES!$C$25:$Q$29</definedName>
    <definedName name="RCONT">[1]INC!$P$2:$P$291</definedName>
    <definedName name="RCOSTO">[1]INC!$O$2:$O$291</definedName>
    <definedName name="RCOSTOC">[1]INC!$Q$2:$Q$291</definedName>
    <definedName name="RGEN">[1]DHITO!$M$2:$T$28</definedName>
    <definedName name="RHITO">[1]DHITO!$B$2:$K$43</definedName>
    <definedName name="TEST0">#REF!</definedName>
    <definedName name="TESTHKEY">#REF!</definedName>
    <definedName name="TESTKEYS">#REF!</definedName>
    <definedName name="TESTVKEY">#REF!</definedName>
    <definedName name="TR">[1]RES!$F$3</definedName>
    <definedName name="us">#REF!</definedName>
    <definedName name="v" hidden="1">{"MO(BASE)",#N/A,FALSE,"MO(BASE)";"MO(BASE)1",#N/A,FALSE,"MO(BASE)";"MO(BASE)2",#N/A,FALSE,"MO(BASE)"}</definedName>
    <definedName name="wrn.CIGG." hidden="1">{"CI+GG(BASE)",#N/A,FALSE,"CI+GG(BASE)";"GG",#N/A,FALSE,"CI+GG(BASE)";"CI",#N/A,FALSE,"CI+GG(BASE)"}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master." hidden="1">{#N/A,#N/A,TRUE,"MASTER"}</definedName>
    <definedName name="wrn.MO." hidden="1">{"MO(BASE)",#N/A,FALSE,"MO(BASE)";"MO(BASE)1",#N/A,FALSE,"MO(BASE)";"MO(BASE)2",#N/A,FALSE,"MO(BASE)"}</definedName>
    <definedName name="wrn.pendientes." hidden="1">{#N/A,#N/A,FALSE,"PEND INC";#N/A,#N/A,FALSE,"PEND MINM"}</definedName>
    <definedName name="x">[2]SVF715!#REF!</definedName>
    <definedName name="XANO">[1]RES!$J$5</definedName>
    <definedName name="XFA">[1]RGL!$C$15</definedName>
    <definedName name="xfn">[1]CMON!#REF!</definedName>
    <definedName name="XINF">[1]RES!$L$5</definedName>
    <definedName name="XITEM">[1]RES!$I$5</definedName>
    <definedName name="XMODO">[1]RES!$K$5</definedName>
    <definedName name="y">#REF!</definedName>
    <definedName name="yu" hidden="1">{"CI+GG(BASE)",#N/A,FALSE,"CI+GG(BASE)";"GG",#N/A,FALSE,"CI+GG(BASE)";"CI",#N/A,FALSE,"CI+GG(BASE)"}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4" i="62" l="1"/>
  <c r="AD53" i="62"/>
  <c r="AD52" i="62"/>
  <c r="AD27" i="62"/>
  <c r="AD24" i="62"/>
  <c r="AD40" i="62"/>
  <c r="V24" i="62"/>
  <c r="T47" i="62" s="1"/>
  <c r="T48" i="62" s="1"/>
  <c r="T49" i="62" s="1"/>
  <c r="AD22" i="62"/>
  <c r="AD21" i="62"/>
  <c r="AD20" i="62"/>
  <c r="AD19" i="62"/>
  <c r="AD30" i="62"/>
  <c r="AD31" i="62"/>
  <c r="AD32" i="62"/>
  <c r="AD33" i="62"/>
  <c r="AD34" i="62"/>
  <c r="AD35" i="62"/>
  <c r="AD43" i="62"/>
  <c r="AD18" i="62"/>
  <c r="AD17" i="62"/>
  <c r="AD37" i="62" l="1"/>
  <c r="AD44" i="62"/>
  <c r="AD47" i="62"/>
  <c r="AD48" i="62" l="1"/>
  <c r="AD49" i="62"/>
  <c r="AD50" i="62" l="1"/>
  <c r="AD55" i="62" l="1"/>
</calcChain>
</file>

<file path=xl/sharedStrings.xml><?xml version="1.0" encoding="utf-8"?>
<sst xmlns="http://schemas.openxmlformats.org/spreadsheetml/2006/main" count="91" uniqueCount="50">
  <si>
    <t>Razón Social</t>
  </si>
  <si>
    <t>Mecwell Ltda.</t>
  </si>
  <si>
    <t>RUT</t>
  </si>
  <si>
    <t>Domicilio</t>
  </si>
  <si>
    <t>Calbuco 5616 - Antofagasta -Chile</t>
  </si>
  <si>
    <t>Email</t>
  </si>
  <si>
    <t>Teléfono</t>
  </si>
  <si>
    <t>56 9 3426 1121</t>
  </si>
  <si>
    <t>:</t>
  </si>
  <si>
    <t>Cliente</t>
  </si>
  <si>
    <t>Ciudad/Comuna</t>
  </si>
  <si>
    <t>Mejillones</t>
  </si>
  <si>
    <t>Contacto</t>
  </si>
  <si>
    <t>Área</t>
  </si>
  <si>
    <t>Total</t>
  </si>
  <si>
    <t>Mano de Obra</t>
  </si>
  <si>
    <t>Unidad</t>
  </si>
  <si>
    <t>Cantidad</t>
  </si>
  <si>
    <t>Precio Unitario</t>
  </si>
  <si>
    <t>HH</t>
  </si>
  <si>
    <t>Subtotal</t>
  </si>
  <si>
    <t>COTIZACIÓN DE SERVICIOS</t>
  </si>
  <si>
    <t>Supervisor</t>
  </si>
  <si>
    <t xml:space="preserve">Número de cotización </t>
  </si>
  <si>
    <t>Sergio Farías A.</t>
  </si>
  <si>
    <t>Materiales</t>
  </si>
  <si>
    <t>Equipos y elementos anexos</t>
  </si>
  <si>
    <t>Otros gastos</t>
  </si>
  <si>
    <t>Costo directo ($)</t>
  </si>
  <si>
    <t>Gastos generales ($)</t>
  </si>
  <si>
    <t>Utilidades ($)</t>
  </si>
  <si>
    <t>Subtotal Neto ($)</t>
  </si>
  <si>
    <t>Días</t>
  </si>
  <si>
    <t>Combustible</t>
  </si>
  <si>
    <t>Maestro</t>
  </si>
  <si>
    <t>Equipo protección personal</t>
  </si>
  <si>
    <t>Noracid S.A.</t>
  </si>
  <si>
    <t>76.858.530-K</t>
  </si>
  <si>
    <t>rmirandar@noracid.cl</t>
  </si>
  <si>
    <t xml:space="preserve">Nombre del servicio ; </t>
  </si>
  <si>
    <t>Hidratacion</t>
  </si>
  <si>
    <t>Taladro Inalambrico</t>
  </si>
  <si>
    <t>Rodolfo Miranda</t>
  </si>
  <si>
    <t>Jefe de Proyecto e Ingenieria</t>
  </si>
  <si>
    <t>322 - 2026 -NORACID</t>
  </si>
  <si>
    <t>Normalizar Radiel Entrada Galpon de Azufre</t>
  </si>
  <si>
    <t>78349631-3</t>
  </si>
  <si>
    <t>Hormigon</t>
  </si>
  <si>
    <t>M3</t>
  </si>
  <si>
    <t>mecwelllimitada@gmail.com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</si>
</sst>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7" fillId="0" borderId="0" applyNumberFormat="0" applyFill="0" applyBorder="0" applyAlignment="0" applyProtection="0"/>
    <xf numFmtId="0" fontId="9" fillId="0" borderId="0"/>
    <xf numFmtId="0" fontId="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1" fillId="0" borderId="0"/>
  </cellStyleXfs>
  <cellXfs count="46">
    <xf numFmtId="0" fontId="0" fillId="0" borderId="0" xfId="0"/>
    <xf numFmtId="0" fontId="5" fillId="2" borderId="0" xfId="1" applyFont="1" applyFill="1" applyAlignment="1">
      <alignment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0" fontId="6" fillId="2" borderId="0" xfId="1" applyFont="1" applyFill="1" applyAlignment="1">
      <alignment vertical="center" wrapText="1"/>
    </xf>
    <xf numFmtId="0" fontId="8" fillId="2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3" fontId="5" fillId="2" borderId="0" xfId="1" applyNumberFormat="1" applyFont="1" applyFill="1" applyAlignment="1">
      <alignment vertical="center" wrapText="1"/>
    </xf>
    <xf numFmtId="3" fontId="5" fillId="2" borderId="0" xfId="1" applyNumberFormat="1" applyFont="1" applyFill="1" applyAlignment="1">
      <alignment horizontal="center" vertical="center" wrapText="1"/>
    </xf>
    <xf numFmtId="0" fontId="6" fillId="2" borderId="0" xfId="1" applyFont="1" applyFill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8" fillId="2" borderId="0" xfId="1" applyFont="1" applyFill="1" applyAlignment="1">
      <alignment horizontal="left" vertical="center" wrapText="1"/>
    </xf>
    <xf numFmtId="0" fontId="6" fillId="2" borderId="2" xfId="1" applyFont="1" applyFill="1" applyBorder="1" applyAlignment="1">
      <alignment vertical="center" wrapText="1"/>
    </xf>
    <xf numFmtId="0" fontId="8" fillId="2" borderId="2" xfId="1" applyFont="1" applyFill="1" applyBorder="1" applyAlignment="1">
      <alignment vertical="center" wrapText="1"/>
    </xf>
    <xf numFmtId="0" fontId="6" fillId="2" borderId="0" xfId="1" applyFont="1" applyFill="1" applyAlignment="1">
      <alignment horizontal="center" vertical="center" wrapText="1"/>
    </xf>
    <xf numFmtId="3" fontId="6" fillId="2" borderId="0" xfId="1" applyNumberFormat="1" applyFont="1" applyFill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right" vertical="center" wrapText="1"/>
    </xf>
    <xf numFmtId="0" fontId="5" fillId="2" borderId="2" xfId="1" applyFont="1" applyFill="1" applyBorder="1" applyAlignment="1">
      <alignment horizontal="left" vertical="center" wrapText="1"/>
    </xf>
    <xf numFmtId="3" fontId="6" fillId="2" borderId="2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3" fontId="5" fillId="2" borderId="0" xfId="1" applyNumberFormat="1" applyFont="1" applyFill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8" fillId="2" borderId="0" xfId="1" applyFont="1" applyFill="1" applyAlignment="1">
      <alignment horizontal="left" vertical="center" wrapText="1"/>
    </xf>
    <xf numFmtId="0" fontId="7" fillId="2" borderId="0" xfId="2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3" borderId="0" xfId="1" applyFont="1" applyFill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3" fontId="5" fillId="2" borderId="2" xfId="1" applyNumberFormat="1" applyFont="1" applyFill="1" applyBorder="1" applyAlignment="1">
      <alignment horizontal="center" vertical="center" wrapText="1"/>
    </xf>
    <xf numFmtId="9" fontId="5" fillId="2" borderId="0" xfId="1" applyNumberFormat="1" applyFont="1" applyFill="1" applyAlignment="1">
      <alignment horizontal="center" vertical="center" wrapText="1"/>
    </xf>
    <xf numFmtId="3" fontId="6" fillId="2" borderId="0" xfId="1" applyNumberFormat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9" fontId="11" fillId="2" borderId="0" xfId="1" applyNumberFormat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14" fontId="6" fillId="2" borderId="0" xfId="1" applyNumberFormat="1" applyFont="1" applyFill="1" applyAlignment="1">
      <alignment horizontal="center" vertical="center" wrapText="1"/>
    </xf>
    <xf numFmtId="0" fontId="7" fillId="2" borderId="0" xfId="2" applyFill="1" applyBorder="1" applyAlignment="1">
      <alignment horizontal="right" vertical="center" wrapText="1"/>
    </xf>
  </cellXfs>
  <cellStyles count="10">
    <cellStyle name="Hipervínculo" xfId="2" builtinId="8"/>
    <cellStyle name="Hipervínculo 2" xfId="4" xr:uid="{00000000-0005-0000-0000-000001000000}"/>
    <cellStyle name="Hipervínculo 3" xfId="5" xr:uid="{00000000-0005-0000-0000-000002000000}"/>
    <cellStyle name="Normal" xfId="0" builtinId="0"/>
    <cellStyle name="Normal 2" xfId="1" xr:uid="{00000000-0005-0000-0000-000004000000}"/>
    <cellStyle name="Normal 2 2" xfId="8" xr:uid="{396D79F6-E5D0-450B-A251-5D54C89BB1DF}"/>
    <cellStyle name="Normal 3" xfId="3" xr:uid="{00000000-0005-0000-0000-000005000000}"/>
    <cellStyle name="Normal 4" xfId="9" xr:uid="{0800CE56-373E-49D5-9330-EB79B8A378B5}"/>
    <cellStyle name="Porcentaje 2" xfId="6" xr:uid="{00000000-0005-0000-0000-000006000000}"/>
    <cellStyle name="Porcentaje 2 2" xfId="7" xr:uid="{00000000-0005-0000-0000-000007000000}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9537</xdr:colOff>
      <xdr:row>1</xdr:row>
      <xdr:rowOff>76211</xdr:rowOff>
    </xdr:from>
    <xdr:to>
      <xdr:col>9</xdr:col>
      <xdr:colOff>109618</xdr:colOff>
      <xdr:row>5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C338E8-CE66-4F7F-B8EE-15C0DDC35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37" y="304811"/>
          <a:ext cx="1471681" cy="97154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161924</xdr:colOff>
      <xdr:row>50</xdr:row>
      <xdr:rowOff>211527</xdr:rowOff>
    </xdr:from>
    <xdr:to>
      <xdr:col>10</xdr:col>
      <xdr:colOff>28574</xdr:colOff>
      <xdr:row>55</xdr:row>
      <xdr:rowOff>135530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C2F5BD-10D5-469A-A59F-5ACFC2692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4" y="11184327"/>
          <a:ext cx="1238250" cy="10670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-FS01\noracid$\GG_INVERSIONES\R01X110\Control%20Costos\R01X110_Control_2004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no\victor\DAVID\PT-9649\INSTRES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A\am\VAULT,D-PROYECTOS2016\ESC-3145\INGENIERIA%20DETALLE%20ELECTRICA\ARCHIVOS%20DE%20TRABAJO\3145-AT-CONDUCTORES-0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met-josmorg\c\JOSMORG\TRABAJO\ep14-ingendes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-FS01\noracid$\DOCUME~1\msant001\CONFIG~1\Temp\C00AH72_Control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-FS01\noracid$\Documents%20and%20Settings\tgaldame\Mis%20documentos\N03GE64\CONTROL\N03GE64_Control%20ENE_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-FS01\noracid$\GG_SERVICIOS\Sondajes\C02XM74_FH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A\Meridian\TEMP\Proyectos\PETROX\2000\2000-038\Rev%200%20(post%20rev%20MKB%20y%20VCC)\valvulas_00_038_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DHITO"/>
      <sheetName val="INC"/>
      <sheetName val="RES"/>
      <sheetName val="AVF"/>
      <sheetName val="CMON"/>
      <sheetName val="RESU"/>
      <sheetName val="RH"/>
      <sheetName val="RGL"/>
      <sheetName val="RG"/>
      <sheetName val="RF"/>
      <sheetName val="RD"/>
    </sheetNames>
    <sheetDataSet>
      <sheetData sheetId="0">
        <row r="1">
          <cell r="C1" t="str">
            <v>R01X110</v>
          </cell>
        </row>
        <row r="3">
          <cell r="C3" t="str">
            <v>GERENCIA GEOLOGIA</v>
          </cell>
        </row>
        <row r="4">
          <cell r="C4" t="str">
            <v>DIVISION CODELCO -NORTE</v>
          </cell>
        </row>
      </sheetData>
      <sheetData sheetId="1">
        <row r="2">
          <cell r="B2" t="str">
            <v>1-IN-1</v>
          </cell>
          <cell r="C2">
            <v>1</v>
          </cell>
          <cell r="D2">
            <v>1</v>
          </cell>
          <cell r="E2" t="str">
            <v>IN</v>
          </cell>
          <cell r="F2">
            <v>1</v>
          </cell>
          <cell r="G2" t="str">
            <v>Aprobación PGD</v>
          </cell>
          <cell r="H2">
            <v>37257</v>
          </cell>
          <cell r="J2">
            <v>37280</v>
          </cell>
          <cell r="M2" t="str">
            <v>1-1</v>
          </cell>
          <cell r="N2">
            <v>36892</v>
          </cell>
          <cell r="O2">
            <v>1</v>
          </cell>
        </row>
        <row r="3">
          <cell r="B3" t="str">
            <v>1-IN-2</v>
          </cell>
          <cell r="C3">
            <v>2</v>
          </cell>
          <cell r="D3">
            <v>1</v>
          </cell>
          <cell r="E3" t="str">
            <v>IN</v>
          </cell>
          <cell r="F3">
            <v>2</v>
          </cell>
          <cell r="G3" t="str">
            <v>Validación Base Datos</v>
          </cell>
          <cell r="H3">
            <v>37257</v>
          </cell>
          <cell r="I3">
            <v>37315</v>
          </cell>
          <cell r="J3">
            <v>37377</v>
          </cell>
          <cell r="K3">
            <v>37467</v>
          </cell>
          <cell r="M3" t="str">
            <v>1-2</v>
          </cell>
          <cell r="N3">
            <v>36923</v>
          </cell>
          <cell r="O3">
            <v>1</v>
          </cell>
        </row>
        <row r="4">
          <cell r="B4" t="str">
            <v>1-IN-3</v>
          </cell>
          <cell r="C4">
            <v>3</v>
          </cell>
          <cell r="D4">
            <v>1</v>
          </cell>
          <cell r="E4" t="str">
            <v>IN</v>
          </cell>
          <cell r="F4">
            <v>3</v>
          </cell>
          <cell r="G4" t="str">
            <v>Inicio Campaña Perforación</v>
          </cell>
          <cell r="H4">
            <v>37316</v>
          </cell>
          <cell r="J4">
            <v>37444</v>
          </cell>
          <cell r="M4" t="str">
            <v>1-3</v>
          </cell>
          <cell r="N4">
            <v>36951</v>
          </cell>
          <cell r="O4">
            <v>1</v>
          </cell>
          <cell r="R4" t="str">
            <v>Ctto. De Sondajes: Se continua con proceso de licitación, se espera efectuar la adjudicación durante Abril-2002, Ctto. De Tierra: Licitación se encuentra en evaluación de ofertas.</v>
          </cell>
          <cell r="T4" t="str">
            <v>** Modalidad de Servicios de Análisis Quimico  no ha sido definida aun</v>
          </cell>
        </row>
        <row r="5">
          <cell r="B5" t="str">
            <v>1-IN-4</v>
          </cell>
          <cell r="C5">
            <v>4</v>
          </cell>
          <cell r="D5">
            <v>1</v>
          </cell>
          <cell r="E5" t="str">
            <v>IN</v>
          </cell>
          <cell r="F5">
            <v>4</v>
          </cell>
          <cell r="G5" t="str">
            <v>Inicio Modelamiento Geologico</v>
          </cell>
          <cell r="H5">
            <v>37316</v>
          </cell>
          <cell r="J5">
            <v>37444</v>
          </cell>
          <cell r="M5" t="str">
            <v>1-4</v>
          </cell>
          <cell r="N5">
            <v>36982</v>
          </cell>
          <cell r="O5">
            <v>1</v>
          </cell>
        </row>
        <row r="6">
          <cell r="B6" t="str">
            <v>1-IN-5</v>
          </cell>
          <cell r="C6">
            <v>5</v>
          </cell>
          <cell r="D6">
            <v>1</v>
          </cell>
          <cell r="E6" t="str">
            <v>IN</v>
          </cell>
          <cell r="F6">
            <v>5</v>
          </cell>
          <cell r="G6" t="str">
            <v xml:space="preserve">Finaliza 17.485 m de sondajes diamantinos </v>
          </cell>
          <cell r="I6">
            <v>37772</v>
          </cell>
          <cell r="K6">
            <v>37772</v>
          </cell>
          <cell r="M6" t="str">
            <v>1-5</v>
          </cell>
          <cell r="N6">
            <v>37012</v>
          </cell>
          <cell r="O6">
            <v>1</v>
          </cell>
        </row>
        <row r="7">
          <cell r="B7" t="str">
            <v>1-IN-6</v>
          </cell>
          <cell r="C7">
            <v>6</v>
          </cell>
          <cell r="D7">
            <v>1</v>
          </cell>
          <cell r="E7" t="str">
            <v>IN</v>
          </cell>
          <cell r="F7">
            <v>6</v>
          </cell>
          <cell r="G7" t="str">
            <v>Finaliza 1.920 m de sondajes Aire Reverso</v>
          </cell>
          <cell r="I7">
            <v>37772</v>
          </cell>
          <cell r="K7">
            <v>37772</v>
          </cell>
          <cell r="M7" t="str">
            <v>1-6</v>
          </cell>
          <cell r="N7">
            <v>37043</v>
          </cell>
          <cell r="O7">
            <v>1</v>
          </cell>
          <cell r="P7" t="str">
            <v>1- El proyecto se encuentra a la espera de la formalización del contrato de perforación de Geotec,. 2- Situación similar acontece con contrato FORACO.</v>
          </cell>
          <cell r="Q7" t="str">
            <v>1- Durante el período se replanteo en terreno 12 estaciones, así como la construcción de 8 plataformas  y 8 piscinas de decantación. 2- Se encuentra realizado un 15% de los remapeos correspondientes al Proyecto.</v>
          </cell>
          <cell r="R7" t="str">
            <v xml:space="preserve">1- Durante los último períodod solo se han efectuado adquisiciones menores, principalmente efectuadas por el área de Geotecnia. </v>
          </cell>
          <cell r="T7" t="str">
            <v>1- Se proyecta iniciar faenas de perforacdión durante Julio, esperandose una realizar 1500 m a fines del período.</v>
          </cell>
        </row>
        <row r="8">
          <cell r="B8" t="str">
            <v>1-IN-7</v>
          </cell>
          <cell r="C8">
            <v>7</v>
          </cell>
          <cell r="D8">
            <v>1</v>
          </cell>
          <cell r="E8" t="str">
            <v>IN</v>
          </cell>
          <cell r="F8">
            <v>7</v>
          </cell>
          <cell r="G8" t="str">
            <v>Finaliza 6.150 Analisis Quimicos</v>
          </cell>
          <cell r="I8">
            <v>37772</v>
          </cell>
          <cell r="K8">
            <v>37772</v>
          </cell>
          <cell r="M8" t="str">
            <v>1-7</v>
          </cell>
          <cell r="N8">
            <v>37073</v>
          </cell>
          <cell r="O8">
            <v>1</v>
          </cell>
        </row>
        <row r="9">
          <cell r="B9" t="str">
            <v>1-IN-8</v>
          </cell>
          <cell r="C9">
            <v>8</v>
          </cell>
          <cell r="D9">
            <v>1</v>
          </cell>
          <cell r="E9" t="str">
            <v>IN</v>
          </cell>
          <cell r="F9">
            <v>8</v>
          </cell>
          <cell r="G9" t="str">
            <v>Finaliza Modelamiento Geologico</v>
          </cell>
          <cell r="I9">
            <v>37802</v>
          </cell>
          <cell r="K9">
            <v>37802</v>
          </cell>
          <cell r="M9" t="str">
            <v>1-8</v>
          </cell>
          <cell r="N9">
            <v>37104</v>
          </cell>
          <cell r="O9">
            <v>1</v>
          </cell>
          <cell r="P9" t="str">
            <v>Consultores Metaproject, Fluor Daniel, Esedei, Infografia</v>
          </cell>
          <cell r="R9" t="str">
            <v>Emitidas OC:4500174977  que incluye Ingenieria, Instalaciones y Pta. En Marcha, Procesadores Equipos Moviles  Signos Vitales y OC: 450016155 por Tag's</v>
          </cell>
          <cell r="T9" t="str">
            <v>Como evento importante se debe mensionar que el proceso de adquisición experimento un atraso producto de la  asignación unica a empresa CONTAC, de manera de aprovechar ventajas de ambito y oportunidad, debido a que se encuentra realizando trabajos de natu</v>
          </cell>
        </row>
        <row r="10">
          <cell r="B10" t="str">
            <v>1-IN-9</v>
          </cell>
          <cell r="C10">
            <v>9</v>
          </cell>
          <cell r="D10">
            <v>1</v>
          </cell>
          <cell r="E10" t="str">
            <v>IN</v>
          </cell>
          <cell r="F10">
            <v>9</v>
          </cell>
          <cell r="G10" t="str">
            <v>Finaliza Modelamiento Geotecnico</v>
          </cell>
          <cell r="I10">
            <v>37802</v>
          </cell>
          <cell r="K10">
            <v>37802</v>
          </cell>
          <cell r="M10" t="str">
            <v>1-9</v>
          </cell>
          <cell r="N10">
            <v>37135</v>
          </cell>
          <cell r="O10">
            <v>1</v>
          </cell>
        </row>
        <row r="11">
          <cell r="B11" t="str">
            <v>1-IN-10</v>
          </cell>
          <cell r="C11">
            <v>10</v>
          </cell>
          <cell r="D11">
            <v>1</v>
          </cell>
          <cell r="E11" t="str">
            <v>IN</v>
          </cell>
          <cell r="F11">
            <v>10</v>
          </cell>
          <cell r="G11" t="str">
            <v>Estimación de Recursos</v>
          </cell>
          <cell r="I11">
            <v>37802</v>
          </cell>
          <cell r="K11">
            <v>37802</v>
          </cell>
          <cell r="M11" t="str">
            <v>1-10</v>
          </cell>
          <cell r="N11">
            <v>37165</v>
          </cell>
          <cell r="O11">
            <v>1</v>
          </cell>
        </row>
        <row r="12">
          <cell r="B12" t="str">
            <v>1-IN-11</v>
          </cell>
          <cell r="C12">
            <v>11</v>
          </cell>
          <cell r="D12">
            <v>1</v>
          </cell>
          <cell r="E12" t="str">
            <v>IN</v>
          </cell>
          <cell r="F12">
            <v>11</v>
          </cell>
          <cell r="M12" t="str">
            <v>1-11</v>
          </cell>
          <cell r="N12">
            <v>37196</v>
          </cell>
          <cell r="O12">
            <v>1</v>
          </cell>
        </row>
        <row r="13">
          <cell r="B13" t="str">
            <v>1-IN-12</v>
          </cell>
          <cell r="C13">
            <v>12</v>
          </cell>
          <cell r="D13">
            <v>1</v>
          </cell>
          <cell r="E13" t="str">
            <v>IN</v>
          </cell>
          <cell r="F13">
            <v>12</v>
          </cell>
          <cell r="M13" t="str">
            <v>1-12</v>
          </cell>
          <cell r="N13">
            <v>37226</v>
          </cell>
          <cell r="O13">
            <v>1</v>
          </cell>
        </row>
        <row r="14">
          <cell r="B14" t="str">
            <v>1-IN-13</v>
          </cell>
          <cell r="C14">
            <v>13</v>
          </cell>
          <cell r="D14">
            <v>1</v>
          </cell>
          <cell r="E14" t="str">
            <v>IN</v>
          </cell>
          <cell r="F14">
            <v>13</v>
          </cell>
          <cell r="M14" t="str">
            <v>1-1</v>
          </cell>
          <cell r="N14">
            <v>37257</v>
          </cell>
          <cell r="O14">
            <v>1</v>
          </cell>
        </row>
        <row r="15">
          <cell r="B15" t="str">
            <v>1-IN-14</v>
          </cell>
          <cell r="C15">
            <v>14</v>
          </cell>
          <cell r="D15">
            <v>1</v>
          </cell>
          <cell r="E15" t="str">
            <v>IN</v>
          </cell>
          <cell r="F15">
            <v>14</v>
          </cell>
          <cell r="M15" t="str">
            <v>1-2</v>
          </cell>
          <cell r="N15">
            <v>37288</v>
          </cell>
          <cell r="O15">
            <v>1</v>
          </cell>
        </row>
        <row r="16">
          <cell r="B16" t="str">
            <v>1-IN-15</v>
          </cell>
          <cell r="C16">
            <v>15</v>
          </cell>
          <cell r="D16">
            <v>1</v>
          </cell>
          <cell r="E16" t="str">
            <v>IN</v>
          </cell>
          <cell r="F16">
            <v>15</v>
          </cell>
          <cell r="M16" t="str">
            <v>2-3</v>
          </cell>
          <cell r="N16">
            <v>37316</v>
          </cell>
          <cell r="O16">
            <v>2</v>
          </cell>
        </row>
        <row r="17">
          <cell r="B17" t="str">
            <v>1-IN-16</v>
          </cell>
          <cell r="C17">
            <v>16</v>
          </cell>
          <cell r="D17">
            <v>1</v>
          </cell>
          <cell r="E17" t="str">
            <v>IN</v>
          </cell>
          <cell r="F17">
            <v>16</v>
          </cell>
          <cell r="M17" t="str">
            <v>2-4</v>
          </cell>
          <cell r="N17">
            <v>37347</v>
          </cell>
          <cell r="O17">
            <v>2</v>
          </cell>
        </row>
        <row r="18">
          <cell r="B18" t="str">
            <v>1-IN-17</v>
          </cell>
          <cell r="C18">
            <v>17</v>
          </cell>
          <cell r="D18">
            <v>1</v>
          </cell>
          <cell r="E18" t="str">
            <v>IN</v>
          </cell>
          <cell r="F18">
            <v>17</v>
          </cell>
          <cell r="M18" t="str">
            <v>2-5</v>
          </cell>
          <cell r="N18">
            <v>37377</v>
          </cell>
          <cell r="O18">
            <v>2</v>
          </cell>
        </row>
        <row r="19">
          <cell r="B19" t="str">
            <v>1-IN-18</v>
          </cell>
          <cell r="C19">
            <v>18</v>
          </cell>
          <cell r="D19">
            <v>1</v>
          </cell>
          <cell r="E19" t="str">
            <v>IN</v>
          </cell>
          <cell r="F19">
            <v>18</v>
          </cell>
          <cell r="M19" t="str">
            <v>2-6</v>
          </cell>
          <cell r="N19">
            <v>37408</v>
          </cell>
          <cell r="O19">
            <v>2</v>
          </cell>
        </row>
        <row r="20">
          <cell r="B20" t="str">
            <v>1-IN-19</v>
          </cell>
          <cell r="C20">
            <v>19</v>
          </cell>
          <cell r="D20">
            <v>1</v>
          </cell>
          <cell r="E20" t="str">
            <v>IN</v>
          </cell>
          <cell r="F20">
            <v>19</v>
          </cell>
          <cell r="M20" t="str">
            <v>2-7</v>
          </cell>
          <cell r="N20">
            <v>37438</v>
          </cell>
          <cell r="O20">
            <v>2</v>
          </cell>
        </row>
        <row r="21">
          <cell r="B21" t="str">
            <v>1-IN-20</v>
          </cell>
          <cell r="C21">
            <v>20</v>
          </cell>
          <cell r="D21">
            <v>1</v>
          </cell>
          <cell r="E21" t="str">
            <v>IN</v>
          </cell>
          <cell r="F21">
            <v>20</v>
          </cell>
          <cell r="M21" t="str">
            <v>2-8</v>
          </cell>
          <cell r="N21">
            <v>37469</v>
          </cell>
          <cell r="O21">
            <v>2</v>
          </cell>
        </row>
        <row r="22">
          <cell r="B22" t="str">
            <v>1-IN-21</v>
          </cell>
          <cell r="C22">
            <v>21</v>
          </cell>
          <cell r="D22">
            <v>1</v>
          </cell>
          <cell r="E22" t="str">
            <v>IN</v>
          </cell>
          <cell r="F22">
            <v>21</v>
          </cell>
          <cell r="M22" t="str">
            <v>2-9</v>
          </cell>
          <cell r="N22">
            <v>37500</v>
          </cell>
          <cell r="O22">
            <v>2</v>
          </cell>
        </row>
        <row r="23">
          <cell r="B23" t="str">
            <v>1-IN-22</v>
          </cell>
          <cell r="C23">
            <v>22</v>
          </cell>
          <cell r="D23">
            <v>1</v>
          </cell>
          <cell r="E23" t="str">
            <v>IN</v>
          </cell>
          <cell r="F23">
            <v>22</v>
          </cell>
          <cell r="M23" t="str">
            <v>2-10</v>
          </cell>
          <cell r="N23">
            <v>37530</v>
          </cell>
          <cell r="O23">
            <v>2</v>
          </cell>
        </row>
        <row r="24">
          <cell r="B24" t="str">
            <v>1-IN-23</v>
          </cell>
          <cell r="C24">
            <v>23</v>
          </cell>
          <cell r="D24">
            <v>1</v>
          </cell>
          <cell r="E24" t="str">
            <v>IN</v>
          </cell>
          <cell r="F24">
            <v>23</v>
          </cell>
          <cell r="M24" t="str">
            <v>2-11</v>
          </cell>
          <cell r="N24">
            <v>37561</v>
          </cell>
          <cell r="O24">
            <v>2</v>
          </cell>
        </row>
        <row r="25">
          <cell r="F25">
            <v>24</v>
          </cell>
          <cell r="M25" t="str">
            <v>2-12</v>
          </cell>
          <cell r="N25">
            <v>37591</v>
          </cell>
          <cell r="O25">
            <v>2</v>
          </cell>
        </row>
        <row r="26">
          <cell r="F26">
            <v>25</v>
          </cell>
          <cell r="M26" t="str">
            <v>2-1</v>
          </cell>
          <cell r="N26">
            <v>37622</v>
          </cell>
          <cell r="O26">
            <v>2</v>
          </cell>
        </row>
        <row r="27">
          <cell r="F27">
            <v>26</v>
          </cell>
          <cell r="M27" t="str">
            <v>2-2</v>
          </cell>
          <cell r="N27">
            <v>37653</v>
          </cell>
          <cell r="O27">
            <v>2</v>
          </cell>
        </row>
        <row r="28">
          <cell r="F28">
            <v>27</v>
          </cell>
          <cell r="M28" t="str">
            <v>2-3</v>
          </cell>
          <cell r="N28">
            <v>37681</v>
          </cell>
          <cell r="O28">
            <v>2</v>
          </cell>
        </row>
        <row r="29">
          <cell r="F29">
            <v>1</v>
          </cell>
        </row>
        <row r="30">
          <cell r="F30">
            <v>2</v>
          </cell>
        </row>
        <row r="31">
          <cell r="F31">
            <v>3</v>
          </cell>
        </row>
        <row r="32">
          <cell r="F32">
            <v>4</v>
          </cell>
        </row>
        <row r="33">
          <cell r="F33">
            <v>5</v>
          </cell>
        </row>
        <row r="34">
          <cell r="F34">
            <v>6</v>
          </cell>
        </row>
        <row r="35">
          <cell r="F35">
            <v>7</v>
          </cell>
        </row>
        <row r="36">
          <cell r="F36">
            <v>1</v>
          </cell>
        </row>
        <row r="37">
          <cell r="F37">
            <v>2</v>
          </cell>
        </row>
        <row r="38">
          <cell r="F38">
            <v>3</v>
          </cell>
        </row>
        <row r="39">
          <cell r="F39">
            <v>4</v>
          </cell>
        </row>
        <row r="40">
          <cell r="F40">
            <v>5</v>
          </cell>
        </row>
        <row r="41">
          <cell r="F41">
            <v>6</v>
          </cell>
        </row>
        <row r="42">
          <cell r="F42">
            <v>1</v>
          </cell>
        </row>
        <row r="43">
          <cell r="F43">
            <v>2</v>
          </cell>
        </row>
      </sheetData>
      <sheetData sheetId="2">
        <row r="1">
          <cell r="B1" t="str">
            <v>GRAFO</v>
          </cell>
          <cell r="C1" t="str">
            <v>FA</v>
          </cell>
          <cell r="D1" t="str">
            <v>IT</v>
          </cell>
          <cell r="E1" t="str">
            <v>CDATE</v>
          </cell>
          <cell r="F1" t="str">
            <v>AÑO</v>
          </cell>
          <cell r="G1" t="str">
            <v>MES</v>
          </cell>
          <cell r="H1" t="str">
            <v>M</v>
          </cell>
          <cell r="I1" t="str">
            <v>COSTO</v>
          </cell>
          <cell r="J1" t="str">
            <v>CONT</v>
          </cell>
          <cell r="K1" t="str">
            <v>TOTAL</v>
          </cell>
          <cell r="L1" t="str">
            <v>COSTO</v>
          </cell>
          <cell r="M1" t="str">
            <v>CONT</v>
          </cell>
          <cell r="N1" t="str">
            <v>TOTAL</v>
          </cell>
          <cell r="O1" t="str">
            <v>RCOSTO</v>
          </cell>
          <cell r="P1" t="str">
            <v>RCONT</v>
          </cell>
          <cell r="Q1" t="str">
            <v>RTOTAL</v>
          </cell>
          <cell r="R1" t="str">
            <v>SAP</v>
          </cell>
          <cell r="S1" t="str">
            <v>TRAF</v>
          </cell>
          <cell r="T1" t="str">
            <v>OC</v>
          </cell>
          <cell r="U1" t="str">
            <v>EC</v>
          </cell>
          <cell r="V1" t="str">
            <v>COMP</v>
          </cell>
          <cell r="W1" t="str">
            <v>XCOMP</v>
          </cell>
          <cell r="X1" t="str">
            <v>ORG</v>
          </cell>
          <cell r="Y1" t="str">
            <v>CORG</v>
          </cell>
        </row>
        <row r="2">
          <cell r="B2" t="str">
            <v>9019585 0010</v>
          </cell>
          <cell r="C2" t="str">
            <v>IN</v>
          </cell>
          <cell r="D2" t="str">
            <v>9019585 0010</v>
          </cell>
          <cell r="E2">
            <v>37257</v>
          </cell>
          <cell r="F2">
            <v>2002</v>
          </cell>
          <cell r="G2">
            <v>1</v>
          </cell>
          <cell r="H2" t="str">
            <v>N</v>
          </cell>
          <cell r="I2">
            <v>0</v>
          </cell>
          <cell r="K2">
            <v>0</v>
          </cell>
          <cell r="L2">
            <v>0</v>
          </cell>
          <cell r="N2">
            <v>0</v>
          </cell>
          <cell r="O2">
            <v>0</v>
          </cell>
          <cell r="Q2">
            <v>0</v>
          </cell>
          <cell r="V2">
            <v>0</v>
          </cell>
          <cell r="X2">
            <v>241558.32179976237</v>
          </cell>
        </row>
        <row r="3">
          <cell r="B3" t="str">
            <v>9019585 0020</v>
          </cell>
          <cell r="C3" t="str">
            <v>IN</v>
          </cell>
          <cell r="D3" t="str">
            <v>9019585 0020</v>
          </cell>
          <cell r="E3">
            <v>37257</v>
          </cell>
          <cell r="F3">
            <v>2002</v>
          </cell>
          <cell r="G3">
            <v>1</v>
          </cell>
          <cell r="H3" t="str">
            <v>N</v>
          </cell>
          <cell r="I3">
            <v>0</v>
          </cell>
          <cell r="K3">
            <v>0</v>
          </cell>
          <cell r="L3">
            <v>0</v>
          </cell>
          <cell r="N3">
            <v>0</v>
          </cell>
          <cell r="O3">
            <v>0</v>
          </cell>
          <cell r="Q3">
            <v>0</v>
          </cell>
          <cell r="V3">
            <v>0</v>
          </cell>
          <cell r="X3">
            <v>3508369.655049175</v>
          </cell>
        </row>
        <row r="4">
          <cell r="B4" t="str">
            <v>9019585 0030</v>
          </cell>
          <cell r="C4" t="str">
            <v>IN</v>
          </cell>
          <cell r="D4" t="str">
            <v>9019585 0030</v>
          </cell>
          <cell r="E4">
            <v>37257</v>
          </cell>
          <cell r="F4">
            <v>2002</v>
          </cell>
          <cell r="G4">
            <v>1</v>
          </cell>
          <cell r="H4" t="str">
            <v>N</v>
          </cell>
          <cell r="I4">
            <v>0</v>
          </cell>
          <cell r="K4">
            <v>0</v>
          </cell>
          <cell r="L4">
            <v>0</v>
          </cell>
          <cell r="N4">
            <v>0</v>
          </cell>
          <cell r="O4">
            <v>0</v>
          </cell>
          <cell r="Q4">
            <v>0</v>
          </cell>
          <cell r="V4">
            <v>0</v>
          </cell>
          <cell r="X4">
            <v>631820.1124926972</v>
          </cell>
        </row>
        <row r="5">
          <cell r="B5" t="str">
            <v>9019585 0040</v>
          </cell>
          <cell r="C5" t="str">
            <v>IN</v>
          </cell>
          <cell r="D5" t="str">
            <v>9019585 0040</v>
          </cell>
          <cell r="E5">
            <v>37257</v>
          </cell>
          <cell r="F5">
            <v>2002</v>
          </cell>
          <cell r="G5">
            <v>1</v>
          </cell>
          <cell r="H5" t="str">
            <v>N</v>
          </cell>
          <cell r="I5">
            <v>0</v>
          </cell>
          <cell r="K5">
            <v>0</v>
          </cell>
          <cell r="L5">
            <v>0</v>
          </cell>
          <cell r="N5">
            <v>0</v>
          </cell>
          <cell r="O5">
            <v>0</v>
          </cell>
          <cell r="Q5">
            <v>0</v>
          </cell>
          <cell r="V5">
            <v>0</v>
          </cell>
          <cell r="X5">
            <v>479751.46457757195</v>
          </cell>
        </row>
        <row r="6">
          <cell r="B6" t="str">
            <v>9019585 0050</v>
          </cell>
          <cell r="C6" t="str">
            <v>IN</v>
          </cell>
          <cell r="D6" t="str">
            <v>9019585 0050</v>
          </cell>
          <cell r="E6">
            <v>37257</v>
          </cell>
          <cell r="F6">
            <v>2002</v>
          </cell>
          <cell r="G6">
            <v>1</v>
          </cell>
          <cell r="H6" t="str">
            <v>N</v>
          </cell>
          <cell r="I6">
            <v>0</v>
          </cell>
          <cell r="K6">
            <v>0</v>
          </cell>
          <cell r="L6">
            <v>0</v>
          </cell>
          <cell r="N6">
            <v>0</v>
          </cell>
          <cell r="O6">
            <v>0</v>
          </cell>
          <cell r="Q6">
            <v>0</v>
          </cell>
          <cell r="V6">
            <v>0</v>
          </cell>
          <cell r="X6">
            <v>424389.38049777766</v>
          </cell>
        </row>
        <row r="7">
          <cell r="B7" t="str">
            <v>9019585 0060</v>
          </cell>
          <cell r="C7" t="str">
            <v>IN</v>
          </cell>
          <cell r="D7" t="str">
            <v>9019585 0060</v>
          </cell>
          <cell r="E7">
            <v>37257</v>
          </cell>
          <cell r="F7">
            <v>2002</v>
          </cell>
          <cell r="G7">
            <v>1</v>
          </cell>
          <cell r="H7" t="str">
            <v>N</v>
          </cell>
          <cell r="I7">
            <v>0</v>
          </cell>
          <cell r="K7">
            <v>0</v>
          </cell>
          <cell r="L7">
            <v>0</v>
          </cell>
          <cell r="N7">
            <v>0</v>
          </cell>
          <cell r="O7">
            <v>0</v>
          </cell>
          <cell r="Q7">
            <v>0</v>
          </cell>
          <cell r="V7">
            <v>0</v>
          </cell>
          <cell r="X7">
            <v>94184.468289111959</v>
          </cell>
        </row>
        <row r="8">
          <cell r="B8" t="str">
            <v>9019585 0070</v>
          </cell>
          <cell r="C8" t="str">
            <v>IN</v>
          </cell>
          <cell r="D8" t="str">
            <v>9019585 0070</v>
          </cell>
          <cell r="E8">
            <v>37257</v>
          </cell>
          <cell r="F8">
            <v>2002</v>
          </cell>
          <cell r="G8">
            <v>1</v>
          </cell>
          <cell r="H8" t="str">
            <v>N</v>
          </cell>
          <cell r="I8">
            <v>0</v>
          </cell>
          <cell r="K8">
            <v>0</v>
          </cell>
          <cell r="L8">
            <v>0</v>
          </cell>
          <cell r="N8">
            <v>0</v>
          </cell>
          <cell r="O8">
            <v>0</v>
          </cell>
          <cell r="Q8">
            <v>0</v>
          </cell>
          <cell r="V8">
            <v>0</v>
          </cell>
          <cell r="X8">
            <v>39243.329707102697</v>
          </cell>
        </row>
        <row r="9">
          <cell r="B9" t="str">
            <v>9019585 0080</v>
          </cell>
          <cell r="C9" t="str">
            <v>AD</v>
          </cell>
          <cell r="D9" t="str">
            <v>9019585 0080</v>
          </cell>
          <cell r="E9">
            <v>37257</v>
          </cell>
          <cell r="F9">
            <v>2002</v>
          </cell>
          <cell r="G9">
            <v>1</v>
          </cell>
          <cell r="H9" t="str">
            <v>N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V9">
            <v>0</v>
          </cell>
          <cell r="X9">
            <v>346534.73557033169</v>
          </cell>
        </row>
        <row r="10">
          <cell r="B10" t="str">
            <v>9019585 0010</v>
          </cell>
          <cell r="C10" t="str">
            <v>IN</v>
          </cell>
          <cell r="D10" t="str">
            <v>9019585 0010</v>
          </cell>
          <cell r="E10">
            <v>37288</v>
          </cell>
          <cell r="F10">
            <v>2002</v>
          </cell>
          <cell r="G10">
            <v>2</v>
          </cell>
          <cell r="H10" t="str">
            <v>N</v>
          </cell>
          <cell r="I10">
            <v>0</v>
          </cell>
          <cell r="K10">
            <v>0</v>
          </cell>
          <cell r="L10">
            <v>0</v>
          </cell>
          <cell r="N10">
            <v>0</v>
          </cell>
          <cell r="O10">
            <v>0</v>
          </cell>
          <cell r="Q10">
            <v>0</v>
          </cell>
          <cell r="V10">
            <v>0</v>
          </cell>
        </row>
        <row r="11">
          <cell r="B11" t="str">
            <v>9019585 0020</v>
          </cell>
          <cell r="C11" t="str">
            <v>IN</v>
          </cell>
          <cell r="D11" t="str">
            <v>9019585 0020</v>
          </cell>
          <cell r="E11">
            <v>37288</v>
          </cell>
          <cell r="F11">
            <v>2002</v>
          </cell>
          <cell r="G11">
            <v>2</v>
          </cell>
          <cell r="H11" t="str">
            <v>N</v>
          </cell>
          <cell r="I11">
            <v>0</v>
          </cell>
          <cell r="K11">
            <v>0</v>
          </cell>
          <cell r="L11">
            <v>0</v>
          </cell>
          <cell r="N11">
            <v>0</v>
          </cell>
          <cell r="O11">
            <v>0</v>
          </cell>
          <cell r="Q11">
            <v>0</v>
          </cell>
          <cell r="V11">
            <v>0</v>
          </cell>
        </row>
        <row r="12">
          <cell r="B12" t="str">
            <v>9019585 0030</v>
          </cell>
          <cell r="C12" t="str">
            <v>IN</v>
          </cell>
          <cell r="D12" t="str">
            <v>9019585 0030</v>
          </cell>
          <cell r="E12">
            <v>37288</v>
          </cell>
          <cell r="F12">
            <v>2002</v>
          </cell>
          <cell r="G12">
            <v>2</v>
          </cell>
          <cell r="H12" t="str">
            <v>N</v>
          </cell>
          <cell r="I12">
            <v>0</v>
          </cell>
          <cell r="K12">
            <v>0</v>
          </cell>
          <cell r="L12">
            <v>0</v>
          </cell>
          <cell r="N12">
            <v>0</v>
          </cell>
          <cell r="O12">
            <v>0</v>
          </cell>
          <cell r="Q12">
            <v>0</v>
          </cell>
          <cell r="V12">
            <v>0</v>
          </cell>
        </row>
        <row r="13">
          <cell r="B13" t="str">
            <v>9019585 0040</v>
          </cell>
          <cell r="C13" t="str">
            <v>IN</v>
          </cell>
          <cell r="D13" t="str">
            <v>9019585 0040</v>
          </cell>
          <cell r="E13">
            <v>37288</v>
          </cell>
          <cell r="F13">
            <v>2002</v>
          </cell>
          <cell r="G13">
            <v>2</v>
          </cell>
          <cell r="H13" t="str">
            <v>N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V13">
            <v>0</v>
          </cell>
        </row>
        <row r="14">
          <cell r="B14" t="str">
            <v>9019585 0050</v>
          </cell>
          <cell r="C14" t="str">
            <v>IN</v>
          </cell>
          <cell r="D14" t="str">
            <v>9019585 0050</v>
          </cell>
          <cell r="E14">
            <v>37288</v>
          </cell>
          <cell r="F14">
            <v>2002</v>
          </cell>
          <cell r="G14">
            <v>2</v>
          </cell>
          <cell r="H14" t="str">
            <v>N</v>
          </cell>
          <cell r="I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Q14">
            <v>0</v>
          </cell>
          <cell r="V14">
            <v>0</v>
          </cell>
        </row>
        <row r="15">
          <cell r="B15" t="str">
            <v>9019585 0060</v>
          </cell>
          <cell r="C15" t="str">
            <v>IN</v>
          </cell>
          <cell r="D15" t="str">
            <v>9019585 0060</v>
          </cell>
          <cell r="E15">
            <v>37288</v>
          </cell>
          <cell r="F15">
            <v>2002</v>
          </cell>
          <cell r="G15">
            <v>2</v>
          </cell>
          <cell r="H15" t="str">
            <v>N</v>
          </cell>
          <cell r="I15">
            <v>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  <cell r="Q15">
            <v>0</v>
          </cell>
          <cell r="V15">
            <v>0</v>
          </cell>
        </row>
        <row r="16">
          <cell r="B16" t="str">
            <v>9019585 0070</v>
          </cell>
          <cell r="C16" t="str">
            <v>IN</v>
          </cell>
          <cell r="D16" t="str">
            <v>9019585 0070</v>
          </cell>
          <cell r="E16">
            <v>37288</v>
          </cell>
          <cell r="F16">
            <v>2002</v>
          </cell>
          <cell r="G16">
            <v>2</v>
          </cell>
          <cell r="H16" t="str">
            <v>N</v>
          </cell>
          <cell r="I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Q16">
            <v>0</v>
          </cell>
          <cell r="V16">
            <v>0</v>
          </cell>
        </row>
        <row r="17">
          <cell r="B17" t="str">
            <v>9019585 0080</v>
          </cell>
          <cell r="C17" t="str">
            <v>AD</v>
          </cell>
          <cell r="D17" t="str">
            <v>9019585 0080</v>
          </cell>
          <cell r="E17">
            <v>37288</v>
          </cell>
          <cell r="F17">
            <v>2002</v>
          </cell>
          <cell r="G17">
            <v>2</v>
          </cell>
          <cell r="H17" t="str">
            <v>N</v>
          </cell>
          <cell r="I17">
            <v>0</v>
          </cell>
          <cell r="K17">
            <v>0</v>
          </cell>
          <cell r="L17">
            <v>0</v>
          </cell>
          <cell r="N17">
            <v>0</v>
          </cell>
          <cell r="O17">
            <v>0</v>
          </cell>
          <cell r="Q17">
            <v>0</v>
          </cell>
          <cell r="V17">
            <v>0</v>
          </cell>
        </row>
        <row r="18">
          <cell r="B18" t="str">
            <v>9019585 0010</v>
          </cell>
          <cell r="C18" t="str">
            <v>IN</v>
          </cell>
          <cell r="D18" t="str">
            <v>9019585 0010</v>
          </cell>
          <cell r="E18">
            <v>37316</v>
          </cell>
          <cell r="F18">
            <v>2002</v>
          </cell>
          <cell r="G18">
            <v>3</v>
          </cell>
          <cell r="H18" t="str">
            <v>N</v>
          </cell>
          <cell r="I18">
            <v>0</v>
          </cell>
          <cell r="K18">
            <v>0</v>
          </cell>
          <cell r="L18">
            <v>0</v>
          </cell>
          <cell r="N18">
            <v>0</v>
          </cell>
          <cell r="O18">
            <v>0</v>
          </cell>
          <cell r="Q18">
            <v>0</v>
          </cell>
          <cell r="V18">
            <v>0</v>
          </cell>
        </row>
        <row r="19">
          <cell r="B19" t="str">
            <v>9019585 0020</v>
          </cell>
          <cell r="C19" t="str">
            <v>IN</v>
          </cell>
          <cell r="D19" t="str">
            <v>9019585 0020</v>
          </cell>
          <cell r="E19">
            <v>37316</v>
          </cell>
          <cell r="F19">
            <v>2002</v>
          </cell>
          <cell r="G19">
            <v>3</v>
          </cell>
          <cell r="H19" t="str">
            <v>N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V19">
            <v>0</v>
          </cell>
        </row>
        <row r="20">
          <cell r="B20" t="str">
            <v>9019585 0030</v>
          </cell>
          <cell r="C20" t="str">
            <v>IN</v>
          </cell>
          <cell r="D20" t="str">
            <v>9019585 0030</v>
          </cell>
          <cell r="E20">
            <v>37316</v>
          </cell>
          <cell r="F20">
            <v>2002</v>
          </cell>
          <cell r="G20">
            <v>3</v>
          </cell>
          <cell r="H20" t="str">
            <v>N</v>
          </cell>
          <cell r="I20">
            <v>0</v>
          </cell>
          <cell r="K20">
            <v>0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V20">
            <v>0</v>
          </cell>
        </row>
        <row r="21">
          <cell r="B21" t="str">
            <v>9019585 0040</v>
          </cell>
          <cell r="C21" t="str">
            <v>IN</v>
          </cell>
          <cell r="D21" t="str">
            <v>9019585 0040</v>
          </cell>
          <cell r="E21">
            <v>37316</v>
          </cell>
          <cell r="F21">
            <v>2002</v>
          </cell>
          <cell r="G21">
            <v>3</v>
          </cell>
          <cell r="H21" t="str">
            <v>N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V21">
            <v>0</v>
          </cell>
        </row>
        <row r="22">
          <cell r="B22" t="str">
            <v>9019585 0050</v>
          </cell>
          <cell r="C22" t="str">
            <v>IN</v>
          </cell>
          <cell r="D22" t="str">
            <v>9019585 0050</v>
          </cell>
          <cell r="E22">
            <v>37316</v>
          </cell>
          <cell r="F22">
            <v>2002</v>
          </cell>
          <cell r="G22">
            <v>3</v>
          </cell>
          <cell r="H22" t="str">
            <v>N</v>
          </cell>
          <cell r="I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V22">
            <v>0</v>
          </cell>
        </row>
        <row r="23">
          <cell r="B23" t="str">
            <v>9019585 0060</v>
          </cell>
          <cell r="C23" t="str">
            <v>IN</v>
          </cell>
          <cell r="D23" t="str">
            <v>9019585 0060</v>
          </cell>
          <cell r="E23">
            <v>37316</v>
          </cell>
          <cell r="F23">
            <v>2002</v>
          </cell>
          <cell r="G23">
            <v>3</v>
          </cell>
          <cell r="H23" t="str">
            <v>N</v>
          </cell>
          <cell r="I23">
            <v>0</v>
          </cell>
          <cell r="K23">
            <v>0</v>
          </cell>
          <cell r="L23">
            <v>0</v>
          </cell>
          <cell r="N23">
            <v>0</v>
          </cell>
          <cell r="O23">
            <v>0</v>
          </cell>
          <cell r="Q23">
            <v>0</v>
          </cell>
          <cell r="V23">
            <v>0</v>
          </cell>
        </row>
        <row r="24">
          <cell r="B24" t="str">
            <v>9019585 0070</v>
          </cell>
          <cell r="C24" t="str">
            <v>IN</v>
          </cell>
          <cell r="D24" t="str">
            <v>9019585 0070</v>
          </cell>
          <cell r="E24">
            <v>37316</v>
          </cell>
          <cell r="F24">
            <v>2002</v>
          </cell>
          <cell r="G24">
            <v>3</v>
          </cell>
          <cell r="H24" t="str">
            <v>N</v>
          </cell>
          <cell r="I24">
            <v>0</v>
          </cell>
          <cell r="K24">
            <v>0</v>
          </cell>
          <cell r="L24">
            <v>0</v>
          </cell>
          <cell r="N24">
            <v>0</v>
          </cell>
          <cell r="O24">
            <v>0</v>
          </cell>
          <cell r="Q24">
            <v>0</v>
          </cell>
          <cell r="V24">
            <v>0</v>
          </cell>
        </row>
        <row r="25">
          <cell r="B25" t="str">
            <v>9019585 0080</v>
          </cell>
          <cell r="C25" t="str">
            <v>AD</v>
          </cell>
          <cell r="D25" t="str">
            <v>9019585 0080</v>
          </cell>
          <cell r="E25">
            <v>37316</v>
          </cell>
          <cell r="F25">
            <v>2002</v>
          </cell>
          <cell r="G25">
            <v>3</v>
          </cell>
          <cell r="H25" t="str">
            <v>N</v>
          </cell>
          <cell r="I25">
            <v>0</v>
          </cell>
          <cell r="K25">
            <v>0</v>
          </cell>
          <cell r="L25">
            <v>0</v>
          </cell>
          <cell r="N25">
            <v>0</v>
          </cell>
          <cell r="O25">
            <v>0</v>
          </cell>
          <cell r="Q25">
            <v>0</v>
          </cell>
          <cell r="V25">
            <v>0</v>
          </cell>
        </row>
        <row r="26">
          <cell r="B26" t="str">
            <v>9019585 0010</v>
          </cell>
          <cell r="C26" t="str">
            <v>IN</v>
          </cell>
          <cell r="D26" t="str">
            <v>9019585 0010</v>
          </cell>
          <cell r="E26">
            <v>37347</v>
          </cell>
          <cell r="F26">
            <v>2002</v>
          </cell>
          <cell r="G26">
            <v>4</v>
          </cell>
          <cell r="H26" t="str">
            <v>N</v>
          </cell>
          <cell r="I26">
            <v>0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V26">
            <v>0</v>
          </cell>
        </row>
        <row r="27">
          <cell r="B27" t="str">
            <v>9019585 0020</v>
          </cell>
          <cell r="C27" t="str">
            <v>IN</v>
          </cell>
          <cell r="D27" t="str">
            <v>9019585 0020</v>
          </cell>
          <cell r="E27">
            <v>37347</v>
          </cell>
          <cell r="F27">
            <v>2002</v>
          </cell>
          <cell r="G27">
            <v>4</v>
          </cell>
          <cell r="H27" t="str">
            <v>N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V27">
            <v>0</v>
          </cell>
        </row>
        <row r="28">
          <cell r="B28" t="str">
            <v>9019585 0030</v>
          </cell>
          <cell r="C28" t="str">
            <v>IN</v>
          </cell>
          <cell r="D28" t="str">
            <v>9019585 0030</v>
          </cell>
          <cell r="E28">
            <v>37347</v>
          </cell>
          <cell r="F28">
            <v>2002</v>
          </cell>
          <cell r="G28">
            <v>4</v>
          </cell>
          <cell r="H28" t="str">
            <v>N</v>
          </cell>
          <cell r="I28">
            <v>37653</v>
          </cell>
          <cell r="K28">
            <v>37653</v>
          </cell>
          <cell r="L28">
            <v>0</v>
          </cell>
          <cell r="N28">
            <v>0</v>
          </cell>
          <cell r="O28">
            <v>0</v>
          </cell>
          <cell r="Q28">
            <v>0</v>
          </cell>
          <cell r="V28">
            <v>0</v>
          </cell>
        </row>
        <row r="29">
          <cell r="B29" t="str">
            <v>9019585 0040</v>
          </cell>
          <cell r="C29" t="str">
            <v>IN</v>
          </cell>
          <cell r="D29" t="str">
            <v>9019585 0040</v>
          </cell>
          <cell r="E29">
            <v>37347</v>
          </cell>
          <cell r="F29">
            <v>2002</v>
          </cell>
          <cell r="G29">
            <v>4</v>
          </cell>
          <cell r="H29" t="str">
            <v>N</v>
          </cell>
          <cell r="I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Q29">
            <v>0</v>
          </cell>
          <cell r="V29">
            <v>0</v>
          </cell>
        </row>
        <row r="30">
          <cell r="B30" t="str">
            <v>9019585 0050</v>
          </cell>
          <cell r="C30" t="str">
            <v>IN</v>
          </cell>
          <cell r="D30" t="str">
            <v>9019585 0050</v>
          </cell>
          <cell r="E30">
            <v>37347</v>
          </cell>
          <cell r="F30">
            <v>2002</v>
          </cell>
          <cell r="G30">
            <v>4</v>
          </cell>
          <cell r="H30" t="str">
            <v>N</v>
          </cell>
          <cell r="I30">
            <v>24280</v>
          </cell>
          <cell r="K30">
            <v>24280</v>
          </cell>
          <cell r="L30">
            <v>0</v>
          </cell>
          <cell r="N30">
            <v>0</v>
          </cell>
          <cell r="O30">
            <v>0</v>
          </cell>
          <cell r="Q30">
            <v>0</v>
          </cell>
          <cell r="V30">
            <v>0</v>
          </cell>
        </row>
        <row r="31">
          <cell r="B31" t="str">
            <v>9019585 0060</v>
          </cell>
          <cell r="C31" t="str">
            <v>IN</v>
          </cell>
          <cell r="D31" t="str">
            <v>9019585 0060</v>
          </cell>
          <cell r="E31">
            <v>37347</v>
          </cell>
          <cell r="F31">
            <v>2002</v>
          </cell>
          <cell r="G31">
            <v>4</v>
          </cell>
          <cell r="H31" t="str">
            <v>N</v>
          </cell>
          <cell r="I31">
            <v>4973</v>
          </cell>
          <cell r="K31">
            <v>4973</v>
          </cell>
          <cell r="L31">
            <v>0</v>
          </cell>
          <cell r="N31">
            <v>0</v>
          </cell>
          <cell r="O31">
            <v>0</v>
          </cell>
          <cell r="Q31">
            <v>0</v>
          </cell>
          <cell r="V31">
            <v>0</v>
          </cell>
        </row>
        <row r="32">
          <cell r="B32" t="str">
            <v>9019585 0070</v>
          </cell>
          <cell r="C32" t="str">
            <v>IN</v>
          </cell>
          <cell r="D32" t="str">
            <v>9019585 0070</v>
          </cell>
          <cell r="E32">
            <v>37347</v>
          </cell>
          <cell r="F32">
            <v>2002</v>
          </cell>
          <cell r="G32">
            <v>4</v>
          </cell>
          <cell r="H32" t="str">
            <v>N</v>
          </cell>
          <cell r="I32">
            <v>2105</v>
          </cell>
          <cell r="K32">
            <v>2105</v>
          </cell>
          <cell r="L32">
            <v>0</v>
          </cell>
          <cell r="N32">
            <v>0</v>
          </cell>
          <cell r="O32">
            <v>0</v>
          </cell>
          <cell r="Q32">
            <v>0</v>
          </cell>
          <cell r="V32">
            <v>0</v>
          </cell>
        </row>
        <row r="33">
          <cell r="B33" t="str">
            <v>9019585 0080</v>
          </cell>
          <cell r="C33" t="str">
            <v>AD</v>
          </cell>
          <cell r="D33" t="str">
            <v>9019585 0080</v>
          </cell>
          <cell r="E33">
            <v>37347</v>
          </cell>
          <cell r="F33">
            <v>2002</v>
          </cell>
          <cell r="G33">
            <v>4</v>
          </cell>
          <cell r="H33" t="str">
            <v>N</v>
          </cell>
          <cell r="I33">
            <v>19825</v>
          </cell>
          <cell r="K33">
            <v>19825</v>
          </cell>
          <cell r="L33">
            <v>0</v>
          </cell>
          <cell r="N33">
            <v>0</v>
          </cell>
          <cell r="O33">
            <v>0</v>
          </cell>
          <cell r="Q33">
            <v>0</v>
          </cell>
          <cell r="V33">
            <v>0</v>
          </cell>
        </row>
        <row r="34">
          <cell r="B34" t="str">
            <v>9019585 0010</v>
          </cell>
          <cell r="C34" t="str">
            <v>IN</v>
          </cell>
          <cell r="D34" t="str">
            <v>9019585 0010</v>
          </cell>
          <cell r="E34">
            <v>37377</v>
          </cell>
          <cell r="F34">
            <v>2002</v>
          </cell>
          <cell r="G34">
            <v>5</v>
          </cell>
          <cell r="H34" t="str">
            <v>N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V34">
            <v>0</v>
          </cell>
        </row>
        <row r="35">
          <cell r="B35" t="str">
            <v>9019585 0020</v>
          </cell>
          <cell r="C35" t="str">
            <v>IN</v>
          </cell>
          <cell r="D35" t="str">
            <v>9019585 0020</v>
          </cell>
          <cell r="E35">
            <v>37377</v>
          </cell>
          <cell r="F35">
            <v>2002</v>
          </cell>
          <cell r="G35">
            <v>5</v>
          </cell>
          <cell r="H35" t="str">
            <v>N</v>
          </cell>
          <cell r="I35">
            <v>22834</v>
          </cell>
          <cell r="K35">
            <v>22834</v>
          </cell>
          <cell r="L35">
            <v>0</v>
          </cell>
          <cell r="N35">
            <v>0</v>
          </cell>
          <cell r="O35">
            <v>0</v>
          </cell>
          <cell r="Q35">
            <v>0</v>
          </cell>
          <cell r="V35">
            <v>0</v>
          </cell>
        </row>
        <row r="36">
          <cell r="B36" t="str">
            <v>9019585 0030</v>
          </cell>
          <cell r="C36" t="str">
            <v>IN</v>
          </cell>
          <cell r="D36" t="str">
            <v>9019585 0030</v>
          </cell>
          <cell r="E36">
            <v>37377</v>
          </cell>
          <cell r="F36">
            <v>2002</v>
          </cell>
          <cell r="G36">
            <v>5</v>
          </cell>
          <cell r="H36" t="str">
            <v>N</v>
          </cell>
          <cell r="I36">
            <v>37653</v>
          </cell>
          <cell r="K36">
            <v>37653</v>
          </cell>
          <cell r="L36">
            <v>0</v>
          </cell>
          <cell r="N36">
            <v>0</v>
          </cell>
          <cell r="O36">
            <v>0</v>
          </cell>
          <cell r="Q36">
            <v>0</v>
          </cell>
          <cell r="V36">
            <v>0</v>
          </cell>
        </row>
        <row r="37">
          <cell r="B37" t="str">
            <v>9019585 0040</v>
          </cell>
          <cell r="C37" t="str">
            <v>IN</v>
          </cell>
          <cell r="D37" t="str">
            <v>9019585 0040</v>
          </cell>
          <cell r="E37">
            <v>37377</v>
          </cell>
          <cell r="F37">
            <v>2002</v>
          </cell>
          <cell r="G37">
            <v>5</v>
          </cell>
          <cell r="H37" t="str">
            <v>N</v>
          </cell>
          <cell r="I37">
            <v>0</v>
          </cell>
          <cell r="K37">
            <v>0</v>
          </cell>
          <cell r="L37">
            <v>0</v>
          </cell>
          <cell r="N37">
            <v>0</v>
          </cell>
          <cell r="O37">
            <v>0</v>
          </cell>
          <cell r="Q37">
            <v>0</v>
          </cell>
          <cell r="V37">
            <v>0</v>
          </cell>
        </row>
        <row r="38">
          <cell r="B38" t="str">
            <v>9019585 0050</v>
          </cell>
          <cell r="C38" t="str">
            <v>IN</v>
          </cell>
          <cell r="D38" t="str">
            <v>9019585 0050</v>
          </cell>
          <cell r="E38">
            <v>37377</v>
          </cell>
          <cell r="F38">
            <v>2002</v>
          </cell>
          <cell r="G38">
            <v>5</v>
          </cell>
          <cell r="H38" t="str">
            <v>N</v>
          </cell>
          <cell r="I38">
            <v>24280</v>
          </cell>
          <cell r="K38">
            <v>24280</v>
          </cell>
          <cell r="L38">
            <v>0</v>
          </cell>
          <cell r="N38">
            <v>0</v>
          </cell>
          <cell r="O38">
            <v>0</v>
          </cell>
          <cell r="Q38">
            <v>0</v>
          </cell>
          <cell r="V38">
            <v>0</v>
          </cell>
        </row>
        <row r="39">
          <cell r="B39" t="str">
            <v>9019585 0060</v>
          </cell>
          <cell r="C39" t="str">
            <v>IN</v>
          </cell>
          <cell r="D39" t="str">
            <v>9019585 0060</v>
          </cell>
          <cell r="E39">
            <v>37377</v>
          </cell>
          <cell r="F39">
            <v>2002</v>
          </cell>
          <cell r="G39">
            <v>5</v>
          </cell>
          <cell r="H39" t="str">
            <v>N</v>
          </cell>
          <cell r="I39">
            <v>4973</v>
          </cell>
          <cell r="K39">
            <v>4973</v>
          </cell>
          <cell r="L39">
            <v>0</v>
          </cell>
          <cell r="N39">
            <v>0</v>
          </cell>
          <cell r="O39">
            <v>0</v>
          </cell>
          <cell r="Q39">
            <v>0</v>
          </cell>
          <cell r="V39">
            <v>0</v>
          </cell>
        </row>
        <row r="40">
          <cell r="B40" t="str">
            <v>9019585 0070</v>
          </cell>
          <cell r="C40" t="str">
            <v>IN</v>
          </cell>
          <cell r="D40" t="str">
            <v>9019585 0070</v>
          </cell>
          <cell r="E40">
            <v>37377</v>
          </cell>
          <cell r="F40">
            <v>2002</v>
          </cell>
          <cell r="G40">
            <v>5</v>
          </cell>
          <cell r="H40" t="str">
            <v>N</v>
          </cell>
          <cell r="I40">
            <v>2105</v>
          </cell>
          <cell r="K40">
            <v>2105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V40">
            <v>0</v>
          </cell>
        </row>
        <row r="41">
          <cell r="B41" t="str">
            <v>9019585 0080</v>
          </cell>
          <cell r="C41" t="str">
            <v>AD</v>
          </cell>
          <cell r="D41" t="str">
            <v>9019585 0080</v>
          </cell>
          <cell r="E41">
            <v>37377</v>
          </cell>
          <cell r="F41">
            <v>2002</v>
          </cell>
          <cell r="G41">
            <v>5</v>
          </cell>
          <cell r="H41" t="str">
            <v>N</v>
          </cell>
          <cell r="I41">
            <v>19825</v>
          </cell>
          <cell r="K41">
            <v>19825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V41">
            <v>0</v>
          </cell>
        </row>
        <row r="42">
          <cell r="B42" t="str">
            <v>9019585 0010</v>
          </cell>
          <cell r="C42" t="str">
            <v>IN</v>
          </cell>
          <cell r="D42" t="str">
            <v>9019585 0010</v>
          </cell>
          <cell r="E42">
            <v>37408</v>
          </cell>
          <cell r="F42">
            <v>2002</v>
          </cell>
          <cell r="G42">
            <v>6</v>
          </cell>
          <cell r="H42" t="str">
            <v>N</v>
          </cell>
          <cell r="I42">
            <v>0</v>
          </cell>
          <cell r="K42">
            <v>0</v>
          </cell>
          <cell r="L42">
            <v>0</v>
          </cell>
          <cell r="N42">
            <v>0</v>
          </cell>
          <cell r="O42">
            <v>0</v>
          </cell>
          <cell r="Q42">
            <v>0</v>
          </cell>
          <cell r="V42">
            <v>0</v>
          </cell>
        </row>
        <row r="43">
          <cell r="B43" t="str">
            <v>9019585 0020</v>
          </cell>
          <cell r="C43" t="str">
            <v>IN</v>
          </cell>
          <cell r="D43" t="str">
            <v>9019585 0020</v>
          </cell>
          <cell r="E43">
            <v>37408</v>
          </cell>
          <cell r="F43">
            <v>2002</v>
          </cell>
          <cell r="G43">
            <v>6</v>
          </cell>
          <cell r="H43" t="str">
            <v>N</v>
          </cell>
          <cell r="I43">
            <v>167261</v>
          </cell>
          <cell r="K43">
            <v>167261</v>
          </cell>
          <cell r="L43">
            <v>0</v>
          </cell>
          <cell r="N43">
            <v>0</v>
          </cell>
          <cell r="O43">
            <v>0</v>
          </cell>
          <cell r="Q43">
            <v>0</v>
          </cell>
          <cell r="V43">
            <v>0</v>
          </cell>
        </row>
        <row r="44">
          <cell r="B44" t="str">
            <v>9019585 0030</v>
          </cell>
          <cell r="C44" t="str">
            <v>IN</v>
          </cell>
          <cell r="D44" t="str">
            <v>9019585 0030</v>
          </cell>
          <cell r="E44">
            <v>37408</v>
          </cell>
          <cell r="F44">
            <v>2002</v>
          </cell>
          <cell r="G44">
            <v>6</v>
          </cell>
          <cell r="H44" t="str">
            <v>N</v>
          </cell>
          <cell r="I44">
            <v>37653</v>
          </cell>
          <cell r="K44">
            <v>37653</v>
          </cell>
          <cell r="L44">
            <v>0</v>
          </cell>
          <cell r="N44">
            <v>0</v>
          </cell>
          <cell r="O44">
            <v>0</v>
          </cell>
          <cell r="Q44">
            <v>0</v>
          </cell>
          <cell r="V44">
            <v>0</v>
          </cell>
        </row>
        <row r="45">
          <cell r="B45" t="str">
            <v>9019585 0040</v>
          </cell>
          <cell r="C45" t="str">
            <v>IN</v>
          </cell>
          <cell r="D45" t="str">
            <v>9019585 0040</v>
          </cell>
          <cell r="E45">
            <v>37408</v>
          </cell>
          <cell r="F45">
            <v>2002</v>
          </cell>
          <cell r="G45">
            <v>6</v>
          </cell>
          <cell r="H45" t="str">
            <v>N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0</v>
          </cell>
          <cell r="Q45">
            <v>0</v>
          </cell>
          <cell r="V45">
            <v>0</v>
          </cell>
        </row>
        <row r="46">
          <cell r="B46" t="str">
            <v>9019585 0050</v>
          </cell>
          <cell r="C46" t="str">
            <v>IN</v>
          </cell>
          <cell r="D46" t="str">
            <v>9019585 0050</v>
          </cell>
          <cell r="E46">
            <v>37408</v>
          </cell>
          <cell r="F46">
            <v>2002</v>
          </cell>
          <cell r="G46">
            <v>6</v>
          </cell>
          <cell r="H46" t="str">
            <v>N</v>
          </cell>
          <cell r="I46">
            <v>24280</v>
          </cell>
          <cell r="K46">
            <v>24280</v>
          </cell>
          <cell r="L46">
            <v>0</v>
          </cell>
          <cell r="N46">
            <v>0</v>
          </cell>
          <cell r="O46">
            <v>0</v>
          </cell>
          <cell r="Q46">
            <v>0</v>
          </cell>
          <cell r="V46">
            <v>0</v>
          </cell>
        </row>
        <row r="47">
          <cell r="B47" t="str">
            <v>9019585 0060</v>
          </cell>
          <cell r="C47" t="str">
            <v>IN</v>
          </cell>
          <cell r="D47" t="str">
            <v>9019585 0060</v>
          </cell>
          <cell r="E47">
            <v>37408</v>
          </cell>
          <cell r="F47">
            <v>2002</v>
          </cell>
          <cell r="G47">
            <v>6</v>
          </cell>
          <cell r="H47" t="str">
            <v>N</v>
          </cell>
          <cell r="I47">
            <v>4973</v>
          </cell>
          <cell r="K47">
            <v>4973</v>
          </cell>
          <cell r="L47">
            <v>0</v>
          </cell>
          <cell r="N47">
            <v>0</v>
          </cell>
          <cell r="O47">
            <v>0</v>
          </cell>
          <cell r="Q47">
            <v>0</v>
          </cell>
          <cell r="V47">
            <v>0</v>
          </cell>
        </row>
        <row r="48">
          <cell r="B48" t="str">
            <v>9019585 0070</v>
          </cell>
          <cell r="C48" t="str">
            <v>IN</v>
          </cell>
          <cell r="D48" t="str">
            <v>9019585 0070</v>
          </cell>
          <cell r="E48">
            <v>37408</v>
          </cell>
          <cell r="F48">
            <v>2002</v>
          </cell>
          <cell r="G48">
            <v>6</v>
          </cell>
          <cell r="H48" t="str">
            <v>N</v>
          </cell>
          <cell r="I48">
            <v>2105</v>
          </cell>
          <cell r="K48">
            <v>2105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V48">
            <v>0</v>
          </cell>
        </row>
        <row r="49">
          <cell r="B49" t="str">
            <v>9019585 0080</v>
          </cell>
          <cell r="C49" t="str">
            <v>AD</v>
          </cell>
          <cell r="D49" t="str">
            <v>9019585 0080</v>
          </cell>
          <cell r="E49">
            <v>37408</v>
          </cell>
          <cell r="F49">
            <v>2002</v>
          </cell>
          <cell r="G49">
            <v>6</v>
          </cell>
          <cell r="H49" t="str">
            <v>N</v>
          </cell>
          <cell r="I49">
            <v>19825</v>
          </cell>
          <cell r="K49">
            <v>19825</v>
          </cell>
          <cell r="L49">
            <v>0</v>
          </cell>
          <cell r="N49">
            <v>0</v>
          </cell>
          <cell r="O49">
            <v>0</v>
          </cell>
          <cell r="Q49">
            <v>0</v>
          </cell>
          <cell r="V49">
            <v>0</v>
          </cell>
        </row>
        <row r="50">
          <cell r="B50" t="str">
            <v>9019585 0010</v>
          </cell>
          <cell r="C50" t="str">
            <v>IN</v>
          </cell>
          <cell r="D50" t="str">
            <v>9019585 0010</v>
          </cell>
          <cell r="E50">
            <v>37438</v>
          </cell>
          <cell r="F50">
            <v>2002</v>
          </cell>
          <cell r="G50">
            <v>7</v>
          </cell>
          <cell r="H50" t="str">
            <v>N</v>
          </cell>
          <cell r="I50">
            <v>33872</v>
          </cell>
          <cell r="K50">
            <v>33872</v>
          </cell>
          <cell r="L50">
            <v>0</v>
          </cell>
          <cell r="N50">
            <v>0</v>
          </cell>
          <cell r="O50">
            <v>0</v>
          </cell>
          <cell r="Q50">
            <v>0</v>
          </cell>
          <cell r="V50">
            <v>0</v>
          </cell>
        </row>
        <row r="51">
          <cell r="B51" t="str">
            <v>9019585 0020</v>
          </cell>
          <cell r="C51" t="str">
            <v>IN</v>
          </cell>
          <cell r="D51" t="str">
            <v>9019585 0020</v>
          </cell>
          <cell r="E51">
            <v>37438</v>
          </cell>
          <cell r="F51">
            <v>2002</v>
          </cell>
          <cell r="G51">
            <v>7</v>
          </cell>
          <cell r="H51" t="str">
            <v>N</v>
          </cell>
          <cell r="I51">
            <v>167261</v>
          </cell>
          <cell r="K51">
            <v>167261</v>
          </cell>
          <cell r="L51">
            <v>61402.3</v>
          </cell>
          <cell r="N51">
            <v>61402.3</v>
          </cell>
          <cell r="O51">
            <v>61402.3</v>
          </cell>
          <cell r="Q51">
            <v>61402.3</v>
          </cell>
          <cell r="R51">
            <v>50817.96</v>
          </cell>
          <cell r="V51">
            <v>61402.3</v>
          </cell>
        </row>
        <row r="52">
          <cell r="B52" t="str">
            <v>9019585 0030</v>
          </cell>
          <cell r="C52" t="str">
            <v>IN</v>
          </cell>
          <cell r="D52" t="str">
            <v>9019585 0030</v>
          </cell>
          <cell r="E52">
            <v>37438</v>
          </cell>
          <cell r="F52">
            <v>2002</v>
          </cell>
          <cell r="G52">
            <v>7</v>
          </cell>
          <cell r="H52" t="str">
            <v>N</v>
          </cell>
          <cell r="I52">
            <v>37653</v>
          </cell>
          <cell r="K52">
            <v>37653</v>
          </cell>
          <cell r="L52">
            <v>20703.400000000001</v>
          </cell>
          <cell r="N52">
            <v>20703.400000000001</v>
          </cell>
          <cell r="O52">
            <v>20703.400000000001</v>
          </cell>
          <cell r="Q52">
            <v>20703.400000000001</v>
          </cell>
          <cell r="R52">
            <v>17134.64</v>
          </cell>
          <cell r="V52">
            <v>20703.400000000001</v>
          </cell>
        </row>
        <row r="53">
          <cell r="B53" t="str">
            <v>9019585 0040</v>
          </cell>
          <cell r="C53" t="str">
            <v>IN</v>
          </cell>
          <cell r="D53" t="str">
            <v>9019585 0040</v>
          </cell>
          <cell r="E53">
            <v>37438</v>
          </cell>
          <cell r="F53">
            <v>2002</v>
          </cell>
          <cell r="G53">
            <v>7</v>
          </cell>
          <cell r="H53" t="str">
            <v>N</v>
          </cell>
          <cell r="I53">
            <v>20585</v>
          </cell>
          <cell r="K53">
            <v>20585</v>
          </cell>
          <cell r="L53">
            <v>0</v>
          </cell>
          <cell r="N53">
            <v>0</v>
          </cell>
          <cell r="O53">
            <v>0</v>
          </cell>
          <cell r="Q53">
            <v>0</v>
          </cell>
          <cell r="V53">
            <v>0</v>
          </cell>
        </row>
        <row r="54">
          <cell r="B54" t="str">
            <v>9019585 0050</v>
          </cell>
          <cell r="C54" t="str">
            <v>IN</v>
          </cell>
          <cell r="D54" t="str">
            <v>9019585 0050</v>
          </cell>
          <cell r="E54">
            <v>37438</v>
          </cell>
          <cell r="F54">
            <v>2002</v>
          </cell>
          <cell r="G54">
            <v>7</v>
          </cell>
          <cell r="H54" t="str">
            <v>N</v>
          </cell>
          <cell r="I54">
            <v>24280</v>
          </cell>
          <cell r="K54">
            <v>24280</v>
          </cell>
          <cell r="L54">
            <v>0</v>
          </cell>
          <cell r="N54">
            <v>0</v>
          </cell>
          <cell r="O54">
            <v>0</v>
          </cell>
          <cell r="Q54">
            <v>0</v>
          </cell>
          <cell r="V54">
            <v>0</v>
          </cell>
        </row>
        <row r="55">
          <cell r="B55" t="str">
            <v>9019585 0060</v>
          </cell>
          <cell r="C55" t="str">
            <v>IN</v>
          </cell>
          <cell r="D55" t="str">
            <v>9019585 0060</v>
          </cell>
          <cell r="E55">
            <v>37438</v>
          </cell>
          <cell r="F55">
            <v>2002</v>
          </cell>
          <cell r="G55">
            <v>7</v>
          </cell>
          <cell r="H55" t="str">
            <v>N</v>
          </cell>
          <cell r="I55">
            <v>4973</v>
          </cell>
          <cell r="K55">
            <v>4973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V55">
            <v>0</v>
          </cell>
        </row>
        <row r="56">
          <cell r="B56" t="str">
            <v>9019585 0070</v>
          </cell>
          <cell r="C56" t="str">
            <v>IN</v>
          </cell>
          <cell r="D56" t="str">
            <v>9019585 0070</v>
          </cell>
          <cell r="E56">
            <v>37438</v>
          </cell>
          <cell r="F56">
            <v>2002</v>
          </cell>
          <cell r="G56">
            <v>7</v>
          </cell>
          <cell r="H56" t="str">
            <v>N</v>
          </cell>
          <cell r="I56">
            <v>2105</v>
          </cell>
          <cell r="K56">
            <v>2105</v>
          </cell>
          <cell r="L56">
            <v>0</v>
          </cell>
          <cell r="N56">
            <v>0</v>
          </cell>
          <cell r="O56">
            <v>0</v>
          </cell>
          <cell r="Q56">
            <v>0</v>
          </cell>
          <cell r="V56">
            <v>0</v>
          </cell>
        </row>
        <row r="57">
          <cell r="B57" t="str">
            <v>9019585 0080</v>
          </cell>
          <cell r="C57" t="str">
            <v>AD</v>
          </cell>
          <cell r="D57" t="str">
            <v>9019585 0080</v>
          </cell>
          <cell r="E57">
            <v>37438</v>
          </cell>
          <cell r="F57">
            <v>2002</v>
          </cell>
          <cell r="G57">
            <v>7</v>
          </cell>
          <cell r="H57" t="str">
            <v>N</v>
          </cell>
          <cell r="I57">
            <v>19825</v>
          </cell>
          <cell r="K57">
            <v>19825</v>
          </cell>
          <cell r="L57">
            <v>0</v>
          </cell>
          <cell r="N57">
            <v>0</v>
          </cell>
          <cell r="O57">
            <v>0</v>
          </cell>
          <cell r="Q57">
            <v>0</v>
          </cell>
          <cell r="V57">
            <v>0</v>
          </cell>
        </row>
        <row r="58">
          <cell r="B58" t="str">
            <v>9019585 0010</v>
          </cell>
          <cell r="C58" t="str">
            <v>IN</v>
          </cell>
          <cell r="D58" t="str">
            <v>9019585 0010</v>
          </cell>
          <cell r="E58">
            <v>37469</v>
          </cell>
          <cell r="F58">
            <v>2002</v>
          </cell>
          <cell r="G58">
            <v>8</v>
          </cell>
          <cell r="H58" t="str">
            <v>N</v>
          </cell>
          <cell r="I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Q58">
            <v>0</v>
          </cell>
          <cell r="V58">
            <v>0</v>
          </cell>
        </row>
        <row r="59">
          <cell r="B59" t="str">
            <v>9019585 0020</v>
          </cell>
          <cell r="C59" t="str">
            <v>IN</v>
          </cell>
          <cell r="D59" t="str">
            <v>9019585 0020</v>
          </cell>
          <cell r="E59">
            <v>37469</v>
          </cell>
          <cell r="F59">
            <v>2002</v>
          </cell>
          <cell r="G59">
            <v>8</v>
          </cell>
          <cell r="H59" t="str">
            <v>N</v>
          </cell>
          <cell r="I59">
            <v>167261</v>
          </cell>
          <cell r="K59">
            <v>167261</v>
          </cell>
          <cell r="L59">
            <v>125970.6</v>
          </cell>
          <cell r="N59">
            <v>125970.6</v>
          </cell>
          <cell r="O59">
            <v>125970.6</v>
          </cell>
          <cell r="Q59">
            <v>125970.6</v>
          </cell>
          <cell r="R59">
            <v>103760.6</v>
          </cell>
          <cell r="V59">
            <v>125970.6</v>
          </cell>
        </row>
        <row r="60">
          <cell r="B60" t="str">
            <v>9019585 0030</v>
          </cell>
          <cell r="C60" t="str">
            <v>IN</v>
          </cell>
          <cell r="D60" t="str">
            <v>9019585 0030</v>
          </cell>
          <cell r="E60">
            <v>37469</v>
          </cell>
          <cell r="F60">
            <v>2002</v>
          </cell>
          <cell r="G60">
            <v>8</v>
          </cell>
          <cell r="H60" t="str">
            <v>N</v>
          </cell>
          <cell r="I60">
            <v>37653</v>
          </cell>
          <cell r="K60">
            <v>37653</v>
          </cell>
          <cell r="L60">
            <v>26893.39999999851</v>
          </cell>
          <cell r="N60">
            <v>26893.39999999851</v>
          </cell>
          <cell r="O60">
            <v>26893.39999999851</v>
          </cell>
          <cell r="Q60">
            <v>26893.39999999851</v>
          </cell>
          <cell r="R60">
            <v>22151.820000000298</v>
          </cell>
          <cell r="V60">
            <v>26893.39999999851</v>
          </cell>
        </row>
        <row r="61">
          <cell r="B61" t="str">
            <v>9019585 0040</v>
          </cell>
          <cell r="C61" t="str">
            <v>IN</v>
          </cell>
          <cell r="D61" t="str">
            <v>9019585 0040</v>
          </cell>
          <cell r="E61">
            <v>37469</v>
          </cell>
          <cell r="F61">
            <v>2002</v>
          </cell>
          <cell r="G61">
            <v>8</v>
          </cell>
          <cell r="H61" t="str">
            <v>N</v>
          </cell>
          <cell r="I61">
            <v>20585</v>
          </cell>
          <cell r="K61">
            <v>20585</v>
          </cell>
          <cell r="L61">
            <v>0</v>
          </cell>
          <cell r="N61">
            <v>0</v>
          </cell>
          <cell r="O61">
            <v>0</v>
          </cell>
          <cell r="Q61">
            <v>0</v>
          </cell>
          <cell r="V61">
            <v>0</v>
          </cell>
        </row>
        <row r="62">
          <cell r="B62" t="str">
            <v>9019585 0050</v>
          </cell>
          <cell r="C62" t="str">
            <v>IN</v>
          </cell>
          <cell r="D62" t="str">
            <v>9019585 0050</v>
          </cell>
          <cell r="E62">
            <v>37469</v>
          </cell>
          <cell r="F62">
            <v>2002</v>
          </cell>
          <cell r="G62">
            <v>8</v>
          </cell>
          <cell r="H62" t="str">
            <v>N</v>
          </cell>
          <cell r="I62">
            <v>24280</v>
          </cell>
          <cell r="K62">
            <v>24280</v>
          </cell>
          <cell r="L62">
            <v>7388.8</v>
          </cell>
          <cell r="N62">
            <v>7388.8</v>
          </cell>
          <cell r="O62">
            <v>7388.8</v>
          </cell>
          <cell r="Q62">
            <v>7388.8</v>
          </cell>
          <cell r="R62">
            <v>6086.11</v>
          </cell>
          <cell r="V62">
            <v>7388.8</v>
          </cell>
        </row>
        <row r="63">
          <cell r="B63" t="str">
            <v>9019585 0060</v>
          </cell>
          <cell r="C63" t="str">
            <v>IN</v>
          </cell>
          <cell r="D63" t="str">
            <v>9019585 0060</v>
          </cell>
          <cell r="E63">
            <v>37469</v>
          </cell>
          <cell r="F63">
            <v>2002</v>
          </cell>
          <cell r="G63">
            <v>8</v>
          </cell>
          <cell r="H63" t="str">
            <v>N</v>
          </cell>
          <cell r="I63">
            <v>4973</v>
          </cell>
          <cell r="K63">
            <v>4973</v>
          </cell>
          <cell r="L63">
            <v>167</v>
          </cell>
          <cell r="N63">
            <v>167</v>
          </cell>
          <cell r="O63">
            <v>167</v>
          </cell>
          <cell r="Q63">
            <v>167</v>
          </cell>
          <cell r="R63">
            <v>137.53</v>
          </cell>
          <cell r="V63">
            <v>167</v>
          </cell>
        </row>
        <row r="64">
          <cell r="B64" t="str">
            <v>9019585 0070</v>
          </cell>
          <cell r="C64" t="str">
            <v>IN</v>
          </cell>
          <cell r="D64" t="str">
            <v>9019585 0070</v>
          </cell>
          <cell r="E64">
            <v>37469</v>
          </cell>
          <cell r="F64">
            <v>2002</v>
          </cell>
          <cell r="G64">
            <v>8</v>
          </cell>
          <cell r="H64" t="str">
            <v>N</v>
          </cell>
          <cell r="I64">
            <v>2105</v>
          </cell>
          <cell r="K64">
            <v>2105</v>
          </cell>
          <cell r="L64">
            <v>0</v>
          </cell>
          <cell r="N64">
            <v>0</v>
          </cell>
          <cell r="O64">
            <v>0</v>
          </cell>
          <cell r="Q64">
            <v>0</v>
          </cell>
          <cell r="V64">
            <v>0</v>
          </cell>
        </row>
        <row r="65">
          <cell r="B65" t="str">
            <v>9019585 0080</v>
          </cell>
          <cell r="C65" t="str">
            <v>AD</v>
          </cell>
          <cell r="D65" t="str">
            <v>9019585 0080</v>
          </cell>
          <cell r="E65">
            <v>37469</v>
          </cell>
          <cell r="F65">
            <v>2002</v>
          </cell>
          <cell r="G65">
            <v>8</v>
          </cell>
          <cell r="H65" t="str">
            <v>N</v>
          </cell>
          <cell r="I65">
            <v>19825</v>
          </cell>
          <cell r="K65">
            <v>19825</v>
          </cell>
          <cell r="L65">
            <v>7347</v>
          </cell>
          <cell r="N65">
            <v>7347</v>
          </cell>
          <cell r="O65">
            <v>7347</v>
          </cell>
          <cell r="Q65">
            <v>7347</v>
          </cell>
          <cell r="R65">
            <v>6051.58</v>
          </cell>
          <cell r="V65">
            <v>7347</v>
          </cell>
        </row>
        <row r="66">
          <cell r="B66" t="str">
            <v>9019585 0010</v>
          </cell>
          <cell r="C66" t="str">
            <v>IN</v>
          </cell>
          <cell r="D66" t="str">
            <v>9019585 0010</v>
          </cell>
          <cell r="E66">
            <v>37500</v>
          </cell>
          <cell r="F66">
            <v>2002</v>
          </cell>
          <cell r="G66">
            <v>9</v>
          </cell>
          <cell r="H66" t="str">
            <v>N</v>
          </cell>
          <cell r="I66">
            <v>0</v>
          </cell>
          <cell r="K66">
            <v>0</v>
          </cell>
          <cell r="L66">
            <v>0</v>
          </cell>
          <cell r="N66">
            <v>0</v>
          </cell>
          <cell r="O66">
            <v>0</v>
          </cell>
          <cell r="Q66">
            <v>0</v>
          </cell>
          <cell r="V66">
            <v>0</v>
          </cell>
        </row>
        <row r="67">
          <cell r="B67" t="str">
            <v>9019585 0020</v>
          </cell>
          <cell r="C67" t="str">
            <v>IN</v>
          </cell>
          <cell r="D67" t="str">
            <v>9019585 0020</v>
          </cell>
          <cell r="E67">
            <v>37500</v>
          </cell>
          <cell r="F67">
            <v>2002</v>
          </cell>
          <cell r="G67">
            <v>9</v>
          </cell>
          <cell r="H67" t="str">
            <v>N</v>
          </cell>
          <cell r="I67">
            <v>167261</v>
          </cell>
          <cell r="K67">
            <v>167261</v>
          </cell>
          <cell r="L67">
            <v>148655.29999999999</v>
          </cell>
          <cell r="N67">
            <v>148655.29999999999</v>
          </cell>
          <cell r="O67">
            <v>148655.29999999999</v>
          </cell>
          <cell r="Q67">
            <v>148655.29999999999</v>
          </cell>
          <cell r="R67">
            <v>119285.74</v>
          </cell>
          <cell r="V67">
            <v>148655.29999999999</v>
          </cell>
        </row>
        <row r="68">
          <cell r="B68" t="str">
            <v>9019585 0030</v>
          </cell>
          <cell r="C68" t="str">
            <v>IN</v>
          </cell>
          <cell r="D68" t="str">
            <v>9019585 0030</v>
          </cell>
          <cell r="E68">
            <v>37500</v>
          </cell>
          <cell r="F68">
            <v>2002</v>
          </cell>
          <cell r="G68">
            <v>9</v>
          </cell>
          <cell r="H68" t="str">
            <v>N</v>
          </cell>
          <cell r="I68">
            <v>37653</v>
          </cell>
          <cell r="K68">
            <v>37653</v>
          </cell>
          <cell r="L68">
            <v>30424.6</v>
          </cell>
          <cell r="N68">
            <v>30424.6</v>
          </cell>
          <cell r="O68">
            <v>30424.6</v>
          </cell>
          <cell r="Q68">
            <v>30424.6</v>
          </cell>
          <cell r="R68">
            <v>24413.7</v>
          </cell>
          <cell r="V68">
            <v>30424.6</v>
          </cell>
        </row>
        <row r="69">
          <cell r="B69" t="str">
            <v>9019585 0040</v>
          </cell>
          <cell r="C69" t="str">
            <v>IN</v>
          </cell>
          <cell r="D69" t="str">
            <v>9019585 0040</v>
          </cell>
          <cell r="E69">
            <v>37500</v>
          </cell>
          <cell r="F69">
            <v>2002</v>
          </cell>
          <cell r="G69">
            <v>9</v>
          </cell>
          <cell r="H69" t="str">
            <v>N</v>
          </cell>
          <cell r="I69">
            <v>20585</v>
          </cell>
          <cell r="K69">
            <v>20585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V69">
            <v>0</v>
          </cell>
        </row>
        <row r="70">
          <cell r="B70" t="str">
            <v>9019585 0050</v>
          </cell>
          <cell r="C70" t="str">
            <v>IN</v>
          </cell>
          <cell r="D70" t="str">
            <v>9019585 0050</v>
          </cell>
          <cell r="E70">
            <v>37500</v>
          </cell>
          <cell r="F70">
            <v>2002</v>
          </cell>
          <cell r="G70">
            <v>9</v>
          </cell>
          <cell r="H70" t="str">
            <v>N</v>
          </cell>
          <cell r="I70">
            <v>24280</v>
          </cell>
          <cell r="K70">
            <v>24280</v>
          </cell>
          <cell r="L70">
            <v>7259.7</v>
          </cell>
          <cell r="N70">
            <v>7259.7</v>
          </cell>
          <cell r="O70">
            <v>7259.7</v>
          </cell>
          <cell r="Q70">
            <v>7259.7</v>
          </cell>
          <cell r="R70">
            <v>5825.41</v>
          </cell>
          <cell r="V70">
            <v>7259.7</v>
          </cell>
        </row>
        <row r="71">
          <cell r="B71" t="str">
            <v>9019585 0060</v>
          </cell>
          <cell r="C71" t="str">
            <v>IN</v>
          </cell>
          <cell r="D71" t="str">
            <v>9019585 0060</v>
          </cell>
          <cell r="E71">
            <v>37500</v>
          </cell>
          <cell r="F71">
            <v>2002</v>
          </cell>
          <cell r="G71">
            <v>9</v>
          </cell>
          <cell r="H71" t="str">
            <v>N</v>
          </cell>
          <cell r="I71">
            <v>4973</v>
          </cell>
          <cell r="K71">
            <v>4973</v>
          </cell>
          <cell r="L71">
            <v>0</v>
          </cell>
          <cell r="N71">
            <v>0</v>
          </cell>
          <cell r="O71">
            <v>0</v>
          </cell>
          <cell r="Q71">
            <v>0</v>
          </cell>
          <cell r="V71">
            <v>0</v>
          </cell>
        </row>
        <row r="72">
          <cell r="B72" t="str">
            <v>9019585 0070</v>
          </cell>
          <cell r="C72" t="str">
            <v>IN</v>
          </cell>
          <cell r="D72" t="str">
            <v>9019585 0070</v>
          </cell>
          <cell r="E72">
            <v>37500</v>
          </cell>
          <cell r="F72">
            <v>2002</v>
          </cell>
          <cell r="G72">
            <v>9</v>
          </cell>
          <cell r="H72" t="str">
            <v>N</v>
          </cell>
          <cell r="I72">
            <v>2105</v>
          </cell>
          <cell r="K72">
            <v>2105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V72">
            <v>0</v>
          </cell>
        </row>
        <row r="73">
          <cell r="B73" t="str">
            <v>9019585 0080</v>
          </cell>
          <cell r="C73" t="str">
            <v>AD</v>
          </cell>
          <cell r="D73" t="str">
            <v>9019585 0080</v>
          </cell>
          <cell r="E73">
            <v>37500</v>
          </cell>
          <cell r="F73">
            <v>2002</v>
          </cell>
          <cell r="G73">
            <v>9</v>
          </cell>
          <cell r="H73" t="str">
            <v>N</v>
          </cell>
          <cell r="I73">
            <v>19825</v>
          </cell>
          <cell r="K73">
            <v>19825</v>
          </cell>
          <cell r="L73">
            <v>5109.3999999999996</v>
          </cell>
          <cell r="N73">
            <v>5109.3999999999996</v>
          </cell>
          <cell r="O73">
            <v>5109.3999999999996</v>
          </cell>
          <cell r="Q73">
            <v>5109.3999999999996</v>
          </cell>
          <cell r="R73">
            <v>4100.05</v>
          </cell>
          <cell r="V73">
            <v>5109.3999999999996</v>
          </cell>
        </row>
        <row r="74">
          <cell r="B74" t="str">
            <v>9019585 0010</v>
          </cell>
          <cell r="C74" t="str">
            <v>IN</v>
          </cell>
          <cell r="D74" t="str">
            <v>9019585 0010</v>
          </cell>
          <cell r="E74">
            <v>37530</v>
          </cell>
          <cell r="F74">
            <v>2002</v>
          </cell>
          <cell r="G74">
            <v>10</v>
          </cell>
          <cell r="H74" t="str">
            <v>N</v>
          </cell>
          <cell r="I74">
            <v>0</v>
          </cell>
          <cell r="K74">
            <v>0</v>
          </cell>
          <cell r="L74">
            <v>10.199999999999999</v>
          </cell>
          <cell r="N74">
            <v>10.199999999999999</v>
          </cell>
          <cell r="O74">
            <v>10.199999999999999</v>
          </cell>
          <cell r="Q74">
            <v>10.199999999999999</v>
          </cell>
          <cell r="R74">
            <v>8.02</v>
          </cell>
          <cell r="V74">
            <v>10.199999999999999</v>
          </cell>
        </row>
        <row r="75">
          <cell r="B75" t="str">
            <v>9019585 0020</v>
          </cell>
          <cell r="C75" t="str">
            <v>IN</v>
          </cell>
          <cell r="D75" t="str">
            <v>9019585 0020</v>
          </cell>
          <cell r="E75">
            <v>37530</v>
          </cell>
          <cell r="F75">
            <v>2002</v>
          </cell>
          <cell r="G75">
            <v>10</v>
          </cell>
          <cell r="H75" t="str">
            <v>N</v>
          </cell>
          <cell r="I75">
            <v>167261</v>
          </cell>
          <cell r="K75">
            <v>167261</v>
          </cell>
          <cell r="L75">
            <v>2.2999999999999998</v>
          </cell>
          <cell r="N75">
            <v>2.2999999999999998</v>
          </cell>
          <cell r="O75">
            <v>2.2999999999999998</v>
          </cell>
          <cell r="Q75">
            <v>2.2999999999999998</v>
          </cell>
          <cell r="R75">
            <v>1.78</v>
          </cell>
          <cell r="V75">
            <v>2.2999999999999998</v>
          </cell>
        </row>
        <row r="76">
          <cell r="B76" t="str">
            <v>9019585 0030</v>
          </cell>
          <cell r="C76" t="str">
            <v>IN</v>
          </cell>
          <cell r="D76" t="str">
            <v>9019585 0030</v>
          </cell>
          <cell r="E76">
            <v>37530</v>
          </cell>
          <cell r="F76">
            <v>2002</v>
          </cell>
          <cell r="G76">
            <v>10</v>
          </cell>
          <cell r="H76" t="str">
            <v>N</v>
          </cell>
          <cell r="I76">
            <v>37653</v>
          </cell>
          <cell r="K76">
            <v>37653</v>
          </cell>
          <cell r="L76">
            <v>41314.6</v>
          </cell>
          <cell r="N76">
            <v>41314.6</v>
          </cell>
          <cell r="O76">
            <v>41314.6</v>
          </cell>
          <cell r="Q76">
            <v>41314.6</v>
          </cell>
          <cell r="R76">
            <v>32749.9</v>
          </cell>
          <cell r="V76">
            <v>41314.6</v>
          </cell>
        </row>
        <row r="77">
          <cell r="B77" t="str">
            <v>9019585 0040</v>
          </cell>
          <cell r="C77" t="str">
            <v>IN</v>
          </cell>
          <cell r="D77" t="str">
            <v>9019585 0040</v>
          </cell>
          <cell r="E77">
            <v>37530</v>
          </cell>
          <cell r="F77">
            <v>2002</v>
          </cell>
          <cell r="G77">
            <v>10</v>
          </cell>
          <cell r="H77" t="str">
            <v>N</v>
          </cell>
          <cell r="I77">
            <v>20585</v>
          </cell>
          <cell r="K77">
            <v>20585</v>
          </cell>
          <cell r="L77">
            <v>10141.6</v>
          </cell>
          <cell r="N77">
            <v>10141.6</v>
          </cell>
          <cell r="O77">
            <v>10141.6</v>
          </cell>
          <cell r="Q77">
            <v>10141.6</v>
          </cell>
          <cell r="R77">
            <v>8039.19</v>
          </cell>
          <cell r="V77">
            <v>10141.6</v>
          </cell>
        </row>
        <row r="78">
          <cell r="B78" t="str">
            <v>9019585 0050</v>
          </cell>
          <cell r="C78" t="str">
            <v>IN</v>
          </cell>
          <cell r="D78" t="str">
            <v>9019585 0050</v>
          </cell>
          <cell r="E78">
            <v>37530</v>
          </cell>
          <cell r="F78">
            <v>2002</v>
          </cell>
          <cell r="G78">
            <v>10</v>
          </cell>
          <cell r="H78" t="str">
            <v>N</v>
          </cell>
          <cell r="I78">
            <v>24280</v>
          </cell>
          <cell r="K78">
            <v>24280</v>
          </cell>
          <cell r="L78">
            <v>12023.4</v>
          </cell>
          <cell r="N78">
            <v>12023.4</v>
          </cell>
          <cell r="O78">
            <v>12023.4</v>
          </cell>
          <cell r="Q78">
            <v>12023.4</v>
          </cell>
          <cell r="R78">
            <v>9530.75</v>
          </cell>
          <cell r="V78">
            <v>12023.4</v>
          </cell>
        </row>
        <row r="79">
          <cell r="B79" t="str">
            <v>9019585 0060</v>
          </cell>
          <cell r="C79" t="str">
            <v>IN</v>
          </cell>
          <cell r="D79" t="str">
            <v>9019585 0060</v>
          </cell>
          <cell r="E79">
            <v>37530</v>
          </cell>
          <cell r="F79">
            <v>2002</v>
          </cell>
          <cell r="G79">
            <v>10</v>
          </cell>
          <cell r="H79" t="str">
            <v>N</v>
          </cell>
          <cell r="I79">
            <v>4973</v>
          </cell>
          <cell r="K79">
            <v>4973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V79">
            <v>0</v>
          </cell>
        </row>
        <row r="80">
          <cell r="B80" t="str">
            <v>9019585 0070</v>
          </cell>
          <cell r="C80" t="str">
            <v>IN</v>
          </cell>
          <cell r="D80" t="str">
            <v>9019585 0070</v>
          </cell>
          <cell r="E80">
            <v>37530</v>
          </cell>
          <cell r="F80">
            <v>2002</v>
          </cell>
          <cell r="G80">
            <v>10</v>
          </cell>
          <cell r="H80" t="str">
            <v>N</v>
          </cell>
          <cell r="I80">
            <v>2105</v>
          </cell>
          <cell r="K80">
            <v>2105</v>
          </cell>
          <cell r="L80">
            <v>0</v>
          </cell>
          <cell r="N80">
            <v>0</v>
          </cell>
          <cell r="O80">
            <v>0</v>
          </cell>
          <cell r="Q80">
            <v>0</v>
          </cell>
          <cell r="V80">
            <v>0</v>
          </cell>
        </row>
        <row r="81">
          <cell r="B81" t="str">
            <v>9019585 0080</v>
          </cell>
          <cell r="C81" t="str">
            <v>AD</v>
          </cell>
          <cell r="D81" t="str">
            <v>9019585 0080</v>
          </cell>
          <cell r="E81">
            <v>37530</v>
          </cell>
          <cell r="F81">
            <v>2002</v>
          </cell>
          <cell r="G81">
            <v>10</v>
          </cell>
          <cell r="H81" t="str">
            <v>N</v>
          </cell>
          <cell r="I81">
            <v>19825</v>
          </cell>
          <cell r="K81">
            <v>19825</v>
          </cell>
          <cell r="L81">
            <v>7679.8</v>
          </cell>
          <cell r="N81">
            <v>7679.8</v>
          </cell>
          <cell r="O81">
            <v>7679.8</v>
          </cell>
          <cell r="Q81">
            <v>7679.8</v>
          </cell>
          <cell r="R81">
            <v>6087.7</v>
          </cell>
          <cell r="V81">
            <v>7679.8</v>
          </cell>
        </row>
        <row r="82">
          <cell r="B82" t="str">
            <v>9019585 0010</v>
          </cell>
          <cell r="C82" t="str">
            <v>IN</v>
          </cell>
          <cell r="D82" t="str">
            <v>9019585 0010</v>
          </cell>
          <cell r="E82">
            <v>37561</v>
          </cell>
          <cell r="F82">
            <v>2002</v>
          </cell>
          <cell r="G82">
            <v>11</v>
          </cell>
          <cell r="H82" t="str">
            <v>N</v>
          </cell>
          <cell r="I82">
            <v>0</v>
          </cell>
          <cell r="K82">
            <v>0</v>
          </cell>
          <cell r="L82">
            <v>-1434.1</v>
          </cell>
          <cell r="N82">
            <v>-1434.1</v>
          </cell>
          <cell r="O82">
            <v>-1434.1</v>
          </cell>
          <cell r="Q82">
            <v>-1434.1</v>
          </cell>
          <cell r="R82">
            <v>-1188.3699999999999</v>
          </cell>
          <cell r="V82">
            <v>-1434.1</v>
          </cell>
        </row>
        <row r="83">
          <cell r="B83" t="str">
            <v>9019585 0020</v>
          </cell>
          <cell r="C83" t="str">
            <v>IN</v>
          </cell>
          <cell r="D83" t="str">
            <v>9019585 0020</v>
          </cell>
          <cell r="E83">
            <v>37561</v>
          </cell>
          <cell r="F83">
            <v>2002</v>
          </cell>
          <cell r="G83">
            <v>11</v>
          </cell>
          <cell r="H83" t="str">
            <v>N</v>
          </cell>
          <cell r="I83">
            <v>167261</v>
          </cell>
          <cell r="K83">
            <v>167261</v>
          </cell>
          <cell r="L83">
            <v>382841.59999999998</v>
          </cell>
          <cell r="N83">
            <v>382841.59999999998</v>
          </cell>
          <cell r="O83">
            <v>382841.59999999998</v>
          </cell>
          <cell r="Q83">
            <v>382841.59999999998</v>
          </cell>
          <cell r="R83">
            <v>317244.62</v>
          </cell>
          <cell r="V83">
            <v>382841.59999999998</v>
          </cell>
        </row>
        <row r="84">
          <cell r="B84" t="str">
            <v>9019585 0030</v>
          </cell>
          <cell r="C84" t="str">
            <v>IN</v>
          </cell>
          <cell r="D84" t="str">
            <v>9019585 0030</v>
          </cell>
          <cell r="E84">
            <v>37561</v>
          </cell>
          <cell r="F84">
            <v>2002</v>
          </cell>
          <cell r="G84">
            <v>11</v>
          </cell>
          <cell r="H84" t="str">
            <v>N</v>
          </cell>
          <cell r="I84">
            <v>37653</v>
          </cell>
          <cell r="K84">
            <v>37653</v>
          </cell>
          <cell r="L84">
            <v>46493</v>
          </cell>
          <cell r="N84">
            <v>46493</v>
          </cell>
          <cell r="O84">
            <v>46493</v>
          </cell>
          <cell r="Q84">
            <v>46493</v>
          </cell>
          <cell r="R84">
            <v>38526.76</v>
          </cell>
          <cell r="V84">
            <v>46493</v>
          </cell>
        </row>
        <row r="85">
          <cell r="B85" t="str">
            <v>9019585 0040</v>
          </cell>
          <cell r="C85" t="str">
            <v>IN</v>
          </cell>
          <cell r="D85" t="str">
            <v>9019585 0040</v>
          </cell>
          <cell r="E85">
            <v>37561</v>
          </cell>
          <cell r="F85">
            <v>2002</v>
          </cell>
          <cell r="G85">
            <v>11</v>
          </cell>
          <cell r="H85" t="str">
            <v>N</v>
          </cell>
          <cell r="I85">
            <v>20585</v>
          </cell>
          <cell r="K85">
            <v>20585</v>
          </cell>
          <cell r="L85">
            <v>22641.8</v>
          </cell>
          <cell r="N85">
            <v>22641.8</v>
          </cell>
          <cell r="O85">
            <v>22641.8</v>
          </cell>
          <cell r="Q85">
            <v>22641.8</v>
          </cell>
          <cell r="R85">
            <v>18762.330000000002</v>
          </cell>
          <cell r="V85">
            <v>22641.8</v>
          </cell>
        </row>
        <row r="86">
          <cell r="B86" t="str">
            <v>9019585 0050</v>
          </cell>
          <cell r="C86" t="str">
            <v>IN</v>
          </cell>
          <cell r="D86" t="str">
            <v>9019585 0050</v>
          </cell>
          <cell r="E86">
            <v>37561</v>
          </cell>
          <cell r="F86">
            <v>2002</v>
          </cell>
          <cell r="G86">
            <v>11</v>
          </cell>
          <cell r="H86" t="str">
            <v>N</v>
          </cell>
          <cell r="I86">
            <v>24280</v>
          </cell>
          <cell r="K86">
            <v>24280</v>
          </cell>
          <cell r="L86">
            <v>7764.9</v>
          </cell>
          <cell r="N86">
            <v>7764.9</v>
          </cell>
          <cell r="O86">
            <v>7764.9</v>
          </cell>
          <cell r="Q86">
            <v>7764.9</v>
          </cell>
          <cell r="R86">
            <v>6434.47</v>
          </cell>
          <cell r="V86">
            <v>7764.9</v>
          </cell>
        </row>
        <row r="87">
          <cell r="B87" t="str">
            <v>9019585 0060</v>
          </cell>
          <cell r="C87" t="str">
            <v>IN</v>
          </cell>
          <cell r="D87" t="str">
            <v>9019585 0060</v>
          </cell>
          <cell r="E87">
            <v>37561</v>
          </cell>
          <cell r="F87">
            <v>2002</v>
          </cell>
          <cell r="G87">
            <v>11</v>
          </cell>
          <cell r="H87" t="str">
            <v>N</v>
          </cell>
          <cell r="I87">
            <v>4973</v>
          </cell>
          <cell r="K87">
            <v>4973</v>
          </cell>
          <cell r="L87">
            <v>0</v>
          </cell>
          <cell r="N87">
            <v>0</v>
          </cell>
          <cell r="O87">
            <v>0</v>
          </cell>
          <cell r="Q87">
            <v>0</v>
          </cell>
          <cell r="V87">
            <v>0</v>
          </cell>
        </row>
        <row r="88">
          <cell r="B88" t="str">
            <v>9019585 0070</v>
          </cell>
          <cell r="C88" t="str">
            <v>IN</v>
          </cell>
          <cell r="D88" t="str">
            <v>9019585 0070</v>
          </cell>
          <cell r="E88">
            <v>37561</v>
          </cell>
          <cell r="F88">
            <v>2002</v>
          </cell>
          <cell r="G88">
            <v>11</v>
          </cell>
          <cell r="H88" t="str">
            <v>N</v>
          </cell>
          <cell r="I88">
            <v>2105</v>
          </cell>
          <cell r="K88">
            <v>2105</v>
          </cell>
          <cell r="L88">
            <v>0</v>
          </cell>
          <cell r="N88">
            <v>0</v>
          </cell>
          <cell r="O88">
            <v>0</v>
          </cell>
          <cell r="Q88">
            <v>0</v>
          </cell>
          <cell r="V88">
            <v>0</v>
          </cell>
        </row>
        <row r="89">
          <cell r="B89" t="str">
            <v>9019585 0080</v>
          </cell>
          <cell r="C89" t="str">
            <v>AD</v>
          </cell>
          <cell r="D89" t="str">
            <v>9019585 0080</v>
          </cell>
          <cell r="E89">
            <v>37561</v>
          </cell>
          <cell r="F89">
            <v>2002</v>
          </cell>
          <cell r="G89">
            <v>11</v>
          </cell>
          <cell r="H89" t="str">
            <v>N</v>
          </cell>
          <cell r="I89">
            <v>19825</v>
          </cell>
          <cell r="K89">
            <v>19825</v>
          </cell>
          <cell r="L89">
            <v>6719.4</v>
          </cell>
          <cell r="N89">
            <v>6719.4</v>
          </cell>
          <cell r="O89">
            <v>6719.4</v>
          </cell>
          <cell r="Q89">
            <v>6719.4</v>
          </cell>
          <cell r="R89">
            <v>5568.16</v>
          </cell>
          <cell r="V89">
            <v>6719.4</v>
          </cell>
        </row>
        <row r="90">
          <cell r="B90" t="str">
            <v>9019585 0010</v>
          </cell>
          <cell r="C90" t="str">
            <v>IN</v>
          </cell>
          <cell r="D90" t="str">
            <v>9019585 0010</v>
          </cell>
          <cell r="E90">
            <v>37591</v>
          </cell>
          <cell r="F90">
            <v>2002</v>
          </cell>
          <cell r="G90">
            <v>12</v>
          </cell>
          <cell r="H90" t="str">
            <v>N</v>
          </cell>
          <cell r="I90">
            <v>0</v>
          </cell>
          <cell r="K90">
            <v>0</v>
          </cell>
          <cell r="L90">
            <v>16.2</v>
          </cell>
          <cell r="N90">
            <v>16.2</v>
          </cell>
          <cell r="O90">
            <v>16.2</v>
          </cell>
          <cell r="Q90">
            <v>16.2</v>
          </cell>
          <cell r="R90">
            <v>13.43</v>
          </cell>
          <cell r="V90">
            <v>16.2</v>
          </cell>
        </row>
        <row r="91">
          <cell r="B91" t="str">
            <v>9019585 0020</v>
          </cell>
          <cell r="C91" t="str">
            <v>IN</v>
          </cell>
          <cell r="D91" t="str">
            <v>9019585 0020</v>
          </cell>
          <cell r="E91">
            <v>37591</v>
          </cell>
          <cell r="F91">
            <v>2002</v>
          </cell>
          <cell r="G91">
            <v>12</v>
          </cell>
          <cell r="H91" t="str">
            <v>N</v>
          </cell>
          <cell r="I91">
            <v>167261</v>
          </cell>
          <cell r="K91">
            <v>167261</v>
          </cell>
          <cell r="L91">
            <v>273806.2</v>
          </cell>
          <cell r="N91">
            <v>273806.2</v>
          </cell>
          <cell r="O91">
            <v>273806.2</v>
          </cell>
          <cell r="Q91">
            <v>273806.2</v>
          </cell>
          <cell r="R91">
            <v>228313.97</v>
          </cell>
          <cell r="V91">
            <v>273806.2</v>
          </cell>
        </row>
        <row r="92">
          <cell r="B92" t="str">
            <v>9019585 0030</v>
          </cell>
          <cell r="C92" t="str">
            <v>IN</v>
          </cell>
          <cell r="D92" t="str">
            <v>9019585 0030</v>
          </cell>
          <cell r="E92">
            <v>37591</v>
          </cell>
          <cell r="F92">
            <v>2002</v>
          </cell>
          <cell r="G92">
            <v>12</v>
          </cell>
          <cell r="H92" t="str">
            <v>N</v>
          </cell>
          <cell r="I92">
            <v>37653</v>
          </cell>
          <cell r="K92">
            <v>37653</v>
          </cell>
          <cell r="L92">
            <v>50192.4</v>
          </cell>
          <cell r="N92">
            <v>50192.4</v>
          </cell>
          <cell r="O92">
            <v>50192.4</v>
          </cell>
          <cell r="Q92">
            <v>50192.4</v>
          </cell>
          <cell r="R92">
            <v>41853.03</v>
          </cell>
          <cell r="V92">
            <v>50192.4</v>
          </cell>
        </row>
        <row r="93">
          <cell r="B93" t="str">
            <v>9019585 0040</v>
          </cell>
          <cell r="C93" t="str">
            <v>IN</v>
          </cell>
          <cell r="D93" t="str">
            <v>9019585 0040</v>
          </cell>
          <cell r="E93">
            <v>37591</v>
          </cell>
          <cell r="F93">
            <v>2002</v>
          </cell>
          <cell r="G93">
            <v>12</v>
          </cell>
          <cell r="H93" t="str">
            <v>N</v>
          </cell>
          <cell r="I93">
            <v>20585</v>
          </cell>
          <cell r="K93">
            <v>20585</v>
          </cell>
          <cell r="L93">
            <v>72.5</v>
          </cell>
          <cell r="N93">
            <v>72.5</v>
          </cell>
          <cell r="O93">
            <v>72.5</v>
          </cell>
          <cell r="Q93">
            <v>72.5</v>
          </cell>
          <cell r="R93">
            <v>60.49</v>
          </cell>
          <cell r="V93">
            <v>72.5</v>
          </cell>
        </row>
        <row r="94">
          <cell r="B94" t="str">
            <v>9019585 0050</v>
          </cell>
          <cell r="C94" t="str">
            <v>IN</v>
          </cell>
          <cell r="D94" t="str">
            <v>9019585 0050</v>
          </cell>
          <cell r="E94">
            <v>37591</v>
          </cell>
          <cell r="F94">
            <v>2002</v>
          </cell>
          <cell r="G94">
            <v>12</v>
          </cell>
          <cell r="H94" t="str">
            <v>N</v>
          </cell>
          <cell r="I94">
            <v>24280</v>
          </cell>
          <cell r="K94">
            <v>24280</v>
          </cell>
          <cell r="L94">
            <v>52108.9</v>
          </cell>
          <cell r="N94">
            <v>52108.9</v>
          </cell>
          <cell r="O94">
            <v>52108.9</v>
          </cell>
          <cell r="Q94">
            <v>52108.9</v>
          </cell>
          <cell r="R94">
            <v>43451.14</v>
          </cell>
          <cell r="V94">
            <v>52108.9</v>
          </cell>
        </row>
        <row r="95">
          <cell r="B95" t="str">
            <v>9019585 0060</v>
          </cell>
          <cell r="C95" t="str">
            <v>IN</v>
          </cell>
          <cell r="D95" t="str">
            <v>9019585 0060</v>
          </cell>
          <cell r="E95">
            <v>37591</v>
          </cell>
          <cell r="F95">
            <v>2002</v>
          </cell>
          <cell r="G95">
            <v>12</v>
          </cell>
          <cell r="H95" t="str">
            <v>N</v>
          </cell>
          <cell r="I95">
            <v>8708</v>
          </cell>
          <cell r="K95">
            <v>8708</v>
          </cell>
          <cell r="L95">
            <v>5.0999999999999996</v>
          </cell>
          <cell r="N95">
            <v>5.0999999999999996</v>
          </cell>
          <cell r="O95">
            <v>5.0999999999999996</v>
          </cell>
          <cell r="Q95">
            <v>5.0999999999999996</v>
          </cell>
          <cell r="R95">
            <v>4.2699999999999996</v>
          </cell>
          <cell r="V95">
            <v>5.0999999999999996</v>
          </cell>
        </row>
        <row r="96">
          <cell r="B96" t="str">
            <v>9019585 0070</v>
          </cell>
          <cell r="C96" t="str">
            <v>IN</v>
          </cell>
          <cell r="D96" t="str">
            <v>9019585 0070</v>
          </cell>
          <cell r="E96">
            <v>37591</v>
          </cell>
          <cell r="F96">
            <v>2002</v>
          </cell>
          <cell r="G96">
            <v>12</v>
          </cell>
          <cell r="H96" t="str">
            <v>N</v>
          </cell>
          <cell r="I96">
            <v>3368</v>
          </cell>
          <cell r="K96">
            <v>3368</v>
          </cell>
          <cell r="L96">
            <v>0</v>
          </cell>
          <cell r="N96">
            <v>0</v>
          </cell>
          <cell r="O96">
            <v>0</v>
          </cell>
          <cell r="Q96">
            <v>0</v>
          </cell>
          <cell r="V96">
            <v>0</v>
          </cell>
        </row>
        <row r="97">
          <cell r="B97" t="str">
            <v>9019585 0080</v>
          </cell>
          <cell r="C97" t="str">
            <v>AD</v>
          </cell>
          <cell r="D97" t="str">
            <v>9019585 0080</v>
          </cell>
          <cell r="E97">
            <v>37591</v>
          </cell>
          <cell r="F97">
            <v>2002</v>
          </cell>
          <cell r="G97">
            <v>12</v>
          </cell>
          <cell r="H97" t="str">
            <v>N</v>
          </cell>
          <cell r="I97">
            <v>19583</v>
          </cell>
          <cell r="K97">
            <v>19583</v>
          </cell>
          <cell r="L97">
            <v>3021.4</v>
          </cell>
          <cell r="N97">
            <v>3021.4</v>
          </cell>
          <cell r="O97">
            <v>3021.4</v>
          </cell>
          <cell r="Q97">
            <v>3021.4</v>
          </cell>
          <cell r="R97">
            <v>2519.7300000000068</v>
          </cell>
          <cell r="V97">
            <v>3021.4</v>
          </cell>
        </row>
        <row r="98">
          <cell r="B98" t="str">
            <v>9019585 0010</v>
          </cell>
          <cell r="C98" t="str">
            <v>IN</v>
          </cell>
          <cell r="D98" t="str">
            <v>9019585 0010</v>
          </cell>
          <cell r="E98">
            <v>37622</v>
          </cell>
          <cell r="F98">
            <v>2003</v>
          </cell>
          <cell r="G98">
            <v>1</v>
          </cell>
          <cell r="H98" t="str">
            <v>N</v>
          </cell>
          <cell r="I98">
            <v>128.5</v>
          </cell>
          <cell r="K98">
            <v>128.5</v>
          </cell>
          <cell r="L98">
            <v>158.5</v>
          </cell>
          <cell r="N98">
            <v>158.5</v>
          </cell>
          <cell r="O98">
            <v>158.5</v>
          </cell>
          <cell r="Q98">
            <v>158.5</v>
          </cell>
          <cell r="R98">
            <v>128.51</v>
          </cell>
          <cell r="V98">
            <v>158.5</v>
          </cell>
        </row>
        <row r="99">
          <cell r="B99" t="str">
            <v>9019585 0020</v>
          </cell>
          <cell r="C99" t="str">
            <v>IN</v>
          </cell>
          <cell r="D99" t="str">
            <v>9019585 0020</v>
          </cell>
          <cell r="E99">
            <v>37622</v>
          </cell>
          <cell r="F99">
            <v>2003</v>
          </cell>
          <cell r="G99">
            <v>1</v>
          </cell>
          <cell r="H99" t="str">
            <v>N</v>
          </cell>
          <cell r="I99">
            <v>160324</v>
          </cell>
          <cell r="K99">
            <v>160324</v>
          </cell>
          <cell r="L99">
            <v>197699.6</v>
          </cell>
          <cell r="N99">
            <v>197699.6</v>
          </cell>
          <cell r="O99">
            <v>197699.6</v>
          </cell>
          <cell r="Q99">
            <v>197699.6</v>
          </cell>
          <cell r="R99">
            <v>160324.01</v>
          </cell>
          <cell r="V99">
            <v>197699.6</v>
          </cell>
        </row>
        <row r="100">
          <cell r="B100" t="str">
            <v>9019585 0030</v>
          </cell>
          <cell r="C100" t="str">
            <v>IN</v>
          </cell>
          <cell r="D100" t="str">
            <v>9019585 0030</v>
          </cell>
          <cell r="E100">
            <v>37622</v>
          </cell>
          <cell r="F100">
            <v>2003</v>
          </cell>
          <cell r="G100">
            <v>1</v>
          </cell>
          <cell r="H100" t="str">
            <v>N</v>
          </cell>
          <cell r="I100">
            <v>32318.9</v>
          </cell>
          <cell r="K100">
            <v>32318.9</v>
          </cell>
          <cell r="L100">
            <v>39853.300000000003</v>
          </cell>
          <cell r="N100">
            <v>39853.300000000003</v>
          </cell>
          <cell r="O100">
            <v>39853.300000000003</v>
          </cell>
          <cell r="Q100">
            <v>39853.300000000003</v>
          </cell>
          <cell r="R100">
            <v>32318.93</v>
          </cell>
          <cell r="V100">
            <v>39853.300000000003</v>
          </cell>
        </row>
        <row r="101">
          <cell r="B101" t="str">
            <v>9019585 0040</v>
          </cell>
          <cell r="C101" t="str">
            <v>IN</v>
          </cell>
          <cell r="D101" t="str">
            <v>9019585 0040</v>
          </cell>
          <cell r="E101">
            <v>37622</v>
          </cell>
          <cell r="F101">
            <v>2003</v>
          </cell>
          <cell r="G101">
            <v>1</v>
          </cell>
          <cell r="H101" t="str">
            <v>N</v>
          </cell>
          <cell r="I101">
            <v>0</v>
          </cell>
          <cell r="K101">
            <v>0</v>
          </cell>
          <cell r="L101">
            <v>0</v>
          </cell>
          <cell r="N101">
            <v>0</v>
          </cell>
          <cell r="O101">
            <v>0</v>
          </cell>
          <cell r="Q101">
            <v>0</v>
          </cell>
          <cell r="V101">
            <v>0</v>
          </cell>
        </row>
        <row r="102">
          <cell r="B102" t="str">
            <v>9019585 0050</v>
          </cell>
          <cell r="C102" t="str">
            <v>IN</v>
          </cell>
          <cell r="D102" t="str">
            <v>9019585 0050</v>
          </cell>
          <cell r="E102">
            <v>37622</v>
          </cell>
          <cell r="F102">
            <v>2003</v>
          </cell>
          <cell r="G102">
            <v>1</v>
          </cell>
          <cell r="H102" t="str">
            <v>N</v>
          </cell>
          <cell r="I102">
            <v>16473.5</v>
          </cell>
          <cell r="K102">
            <v>16473.5</v>
          </cell>
          <cell r="L102">
            <v>23134</v>
          </cell>
          <cell r="N102">
            <v>23134</v>
          </cell>
          <cell r="O102">
            <v>23134</v>
          </cell>
          <cell r="Q102">
            <v>23134</v>
          </cell>
          <cell r="R102">
            <v>18760.63</v>
          </cell>
          <cell r="V102">
            <v>23134</v>
          </cell>
        </row>
        <row r="103">
          <cell r="B103" t="str">
            <v>9019585 0060</v>
          </cell>
          <cell r="C103" t="str">
            <v>IN</v>
          </cell>
          <cell r="D103" t="str">
            <v>9019585 0060</v>
          </cell>
          <cell r="E103">
            <v>37622</v>
          </cell>
          <cell r="F103">
            <v>2003</v>
          </cell>
          <cell r="G103">
            <v>1</v>
          </cell>
          <cell r="H103" t="str">
            <v>N</v>
          </cell>
          <cell r="I103">
            <v>108.4</v>
          </cell>
          <cell r="K103">
            <v>108.4</v>
          </cell>
          <cell r="L103">
            <v>133.69999999999999</v>
          </cell>
          <cell r="N103">
            <v>133.69999999999999</v>
          </cell>
          <cell r="O103">
            <v>133.69999999999999</v>
          </cell>
          <cell r="Q103">
            <v>133.69999999999999</v>
          </cell>
          <cell r="R103">
            <v>108.43</v>
          </cell>
          <cell r="V103">
            <v>133.69999999999999</v>
          </cell>
        </row>
        <row r="104">
          <cell r="B104" t="str">
            <v>9019585 0070</v>
          </cell>
          <cell r="C104" t="str">
            <v>IN</v>
          </cell>
          <cell r="D104" t="str">
            <v>9019585 0070</v>
          </cell>
          <cell r="E104">
            <v>37622</v>
          </cell>
          <cell r="F104">
            <v>2003</v>
          </cell>
          <cell r="G104">
            <v>1</v>
          </cell>
          <cell r="H104" t="str">
            <v>N</v>
          </cell>
          <cell r="I104">
            <v>0</v>
          </cell>
          <cell r="K104">
            <v>0</v>
          </cell>
          <cell r="L104">
            <v>0</v>
          </cell>
          <cell r="N104">
            <v>0</v>
          </cell>
          <cell r="O104">
            <v>0</v>
          </cell>
          <cell r="Q104">
            <v>0</v>
          </cell>
          <cell r="V104">
            <v>0</v>
          </cell>
        </row>
        <row r="105">
          <cell r="B105" t="str">
            <v>9019585 0080</v>
          </cell>
          <cell r="C105" t="str">
            <v>AD</v>
          </cell>
          <cell r="D105" t="str">
            <v>9019585 0080</v>
          </cell>
          <cell r="E105">
            <v>37622</v>
          </cell>
          <cell r="F105">
            <v>2003</v>
          </cell>
          <cell r="G105">
            <v>1</v>
          </cell>
          <cell r="H105" t="str">
            <v>N</v>
          </cell>
          <cell r="I105">
            <v>5096.5</v>
          </cell>
          <cell r="K105">
            <v>5096.5</v>
          </cell>
          <cell r="L105">
            <v>11032.4</v>
          </cell>
          <cell r="N105">
            <v>11032.4</v>
          </cell>
          <cell r="O105">
            <v>11032.4</v>
          </cell>
          <cell r="Q105">
            <v>11032.4</v>
          </cell>
          <cell r="R105">
            <v>8946.48</v>
          </cell>
          <cell r="V105">
            <v>11032.4</v>
          </cell>
        </row>
        <row r="106">
          <cell r="B106" t="str">
            <v>9019585 0010</v>
          </cell>
          <cell r="C106" t="str">
            <v>IN</v>
          </cell>
          <cell r="D106" t="str">
            <v>9019585 0010</v>
          </cell>
          <cell r="E106">
            <v>37653</v>
          </cell>
          <cell r="F106">
            <v>2003</v>
          </cell>
          <cell r="G106">
            <v>2</v>
          </cell>
          <cell r="H106" t="str">
            <v>N</v>
          </cell>
          <cell r="I106">
            <v>0</v>
          </cell>
          <cell r="K106">
            <v>0</v>
          </cell>
          <cell r="L106">
            <v>91.1</v>
          </cell>
          <cell r="N106">
            <v>91.1</v>
          </cell>
          <cell r="O106">
            <v>91.1</v>
          </cell>
          <cell r="Q106">
            <v>91.1</v>
          </cell>
          <cell r="R106">
            <v>72.19</v>
          </cell>
          <cell r="V106">
            <v>91.1</v>
          </cell>
        </row>
        <row r="107">
          <cell r="B107" t="str">
            <v>9019585 0020</v>
          </cell>
          <cell r="C107" t="str">
            <v>IN</v>
          </cell>
          <cell r="D107" t="str">
            <v>9019585 0020</v>
          </cell>
          <cell r="E107">
            <v>37653</v>
          </cell>
          <cell r="F107">
            <v>2003</v>
          </cell>
          <cell r="G107">
            <v>2</v>
          </cell>
          <cell r="H107" t="str">
            <v>N</v>
          </cell>
          <cell r="I107">
            <v>167261</v>
          </cell>
          <cell r="K107">
            <v>167261</v>
          </cell>
          <cell r="L107">
            <v>546182.69999999995</v>
          </cell>
          <cell r="N107">
            <v>546182.69999999995</v>
          </cell>
          <cell r="O107">
            <v>546182.69999999995</v>
          </cell>
          <cell r="Q107">
            <v>546182.69999999995</v>
          </cell>
          <cell r="R107">
            <v>432874.69</v>
          </cell>
          <cell r="V107">
            <v>546182.69999999995</v>
          </cell>
        </row>
        <row r="108">
          <cell r="B108" t="str">
            <v>9019585 0030</v>
          </cell>
          <cell r="C108" t="str">
            <v>IN</v>
          </cell>
          <cell r="D108" t="str">
            <v>9019585 0030</v>
          </cell>
          <cell r="E108">
            <v>37653</v>
          </cell>
          <cell r="F108">
            <v>2003</v>
          </cell>
          <cell r="G108">
            <v>2</v>
          </cell>
          <cell r="H108" t="str">
            <v>N</v>
          </cell>
          <cell r="I108">
            <v>37653</v>
          </cell>
          <cell r="K108">
            <v>37653</v>
          </cell>
          <cell r="L108">
            <v>77906</v>
          </cell>
          <cell r="N108">
            <v>77906</v>
          </cell>
          <cell r="O108">
            <v>77906</v>
          </cell>
          <cell r="Q108">
            <v>77906</v>
          </cell>
          <cell r="R108">
            <v>61744.17</v>
          </cell>
          <cell r="V108">
            <v>77906</v>
          </cell>
        </row>
        <row r="109">
          <cell r="B109" t="str">
            <v>9019585 0040</v>
          </cell>
          <cell r="C109" t="str">
            <v>IN</v>
          </cell>
          <cell r="D109" t="str">
            <v>9019585 0040</v>
          </cell>
          <cell r="E109">
            <v>37653</v>
          </cell>
          <cell r="F109">
            <v>2003</v>
          </cell>
          <cell r="G109">
            <v>2</v>
          </cell>
          <cell r="H109" t="str">
            <v>N</v>
          </cell>
          <cell r="I109">
            <v>20585</v>
          </cell>
          <cell r="K109">
            <v>20585</v>
          </cell>
          <cell r="L109">
            <v>203413.3</v>
          </cell>
          <cell r="N109">
            <v>203413.3</v>
          </cell>
          <cell r="O109">
            <v>203413.3</v>
          </cell>
          <cell r="Q109">
            <v>203413.3</v>
          </cell>
          <cell r="R109">
            <v>161214.41</v>
          </cell>
          <cell r="V109">
            <v>203413.3</v>
          </cell>
        </row>
        <row r="110">
          <cell r="B110" t="str">
            <v>9019585 0050</v>
          </cell>
          <cell r="C110" t="str">
            <v>IN</v>
          </cell>
          <cell r="D110" t="str">
            <v>9019585 0050</v>
          </cell>
          <cell r="E110">
            <v>37653</v>
          </cell>
          <cell r="F110">
            <v>2003</v>
          </cell>
          <cell r="G110">
            <v>2</v>
          </cell>
          <cell r="H110" t="str">
            <v>N</v>
          </cell>
          <cell r="I110">
            <v>18210</v>
          </cell>
          <cell r="K110">
            <v>18210</v>
          </cell>
          <cell r="L110">
            <v>28907.599999999999</v>
          </cell>
          <cell r="N110">
            <v>28907.599999999999</v>
          </cell>
          <cell r="O110">
            <v>28907.599999999999</v>
          </cell>
          <cell r="Q110">
            <v>28907.599999999999</v>
          </cell>
          <cell r="R110">
            <v>22910.48</v>
          </cell>
          <cell r="V110">
            <v>28907.599999999999</v>
          </cell>
        </row>
        <row r="111">
          <cell r="B111" t="str">
            <v>9019585 0060</v>
          </cell>
          <cell r="C111" t="str">
            <v>IN</v>
          </cell>
          <cell r="D111" t="str">
            <v>9019585 0060</v>
          </cell>
          <cell r="E111">
            <v>37653</v>
          </cell>
          <cell r="F111">
            <v>2003</v>
          </cell>
          <cell r="G111">
            <v>2</v>
          </cell>
          <cell r="H111" t="str">
            <v>N</v>
          </cell>
          <cell r="I111">
            <v>4041</v>
          </cell>
          <cell r="K111">
            <v>4041</v>
          </cell>
          <cell r="L111">
            <v>0</v>
          </cell>
          <cell r="N111">
            <v>0</v>
          </cell>
          <cell r="O111">
            <v>0</v>
          </cell>
          <cell r="Q111">
            <v>0</v>
          </cell>
          <cell r="V111">
            <v>0</v>
          </cell>
        </row>
        <row r="112">
          <cell r="B112" t="str">
            <v>9019585 0070</v>
          </cell>
          <cell r="C112" t="str">
            <v>IN</v>
          </cell>
          <cell r="D112" t="str">
            <v>9019585 0070</v>
          </cell>
          <cell r="E112">
            <v>37653</v>
          </cell>
          <cell r="F112">
            <v>2003</v>
          </cell>
          <cell r="G112">
            <v>2</v>
          </cell>
          <cell r="H112" t="str">
            <v>N</v>
          </cell>
          <cell r="I112">
            <v>1684</v>
          </cell>
          <cell r="K112">
            <v>1684</v>
          </cell>
          <cell r="L112">
            <v>0</v>
          </cell>
          <cell r="N112">
            <v>0</v>
          </cell>
          <cell r="O112">
            <v>0</v>
          </cell>
          <cell r="Q112">
            <v>0</v>
          </cell>
          <cell r="V112">
            <v>0</v>
          </cell>
        </row>
        <row r="113">
          <cell r="B113" t="str">
            <v>9019585 0080</v>
          </cell>
          <cell r="C113" t="str">
            <v>AD</v>
          </cell>
          <cell r="D113" t="str">
            <v>9019585 0080</v>
          </cell>
          <cell r="E113">
            <v>37653</v>
          </cell>
          <cell r="F113">
            <v>2003</v>
          </cell>
          <cell r="G113">
            <v>2</v>
          </cell>
          <cell r="H113" t="str">
            <v>N</v>
          </cell>
          <cell r="I113">
            <v>14869</v>
          </cell>
          <cell r="K113">
            <v>14869</v>
          </cell>
          <cell r="L113">
            <v>11229.7</v>
          </cell>
          <cell r="N113">
            <v>11229.7</v>
          </cell>
          <cell r="O113">
            <v>11229.7</v>
          </cell>
          <cell r="Q113">
            <v>11229.7</v>
          </cell>
          <cell r="R113">
            <v>8900</v>
          </cell>
          <cell r="V113">
            <v>11229.7</v>
          </cell>
        </row>
        <row r="114">
          <cell r="B114" t="str">
            <v>9019585 0010</v>
          </cell>
          <cell r="C114" t="str">
            <v>IN</v>
          </cell>
          <cell r="D114" t="str">
            <v>9019585 0010</v>
          </cell>
          <cell r="E114">
            <v>37681</v>
          </cell>
          <cell r="F114">
            <v>2003</v>
          </cell>
          <cell r="G114">
            <v>3</v>
          </cell>
          <cell r="H114" t="str">
            <v>N</v>
          </cell>
          <cell r="I114">
            <v>0</v>
          </cell>
          <cell r="K114">
            <v>0</v>
          </cell>
          <cell r="L114">
            <v>-5.4</v>
          </cell>
          <cell r="N114">
            <v>-5.4</v>
          </cell>
          <cell r="O114">
            <v>-5.4</v>
          </cell>
          <cell r="Q114">
            <v>-5.4</v>
          </cell>
          <cell r="R114">
            <v>-4.34</v>
          </cell>
          <cell r="V114">
            <v>-5.4</v>
          </cell>
        </row>
        <row r="115">
          <cell r="B115" t="str">
            <v>9019585 0020</v>
          </cell>
          <cell r="C115" t="str">
            <v>IN</v>
          </cell>
          <cell r="D115" t="str">
            <v>9019585 0020</v>
          </cell>
          <cell r="E115">
            <v>37681</v>
          </cell>
          <cell r="F115">
            <v>2003</v>
          </cell>
          <cell r="G115">
            <v>3</v>
          </cell>
          <cell r="H115" t="str">
            <v>N</v>
          </cell>
          <cell r="I115">
            <v>167261</v>
          </cell>
          <cell r="K115">
            <v>167261</v>
          </cell>
          <cell r="L115">
            <v>500970.5</v>
          </cell>
          <cell r="N115">
            <v>500970.5</v>
          </cell>
          <cell r="O115">
            <v>500970.5</v>
          </cell>
          <cell r="Q115">
            <v>500970.5</v>
          </cell>
          <cell r="R115">
            <v>402722.03</v>
          </cell>
          <cell r="V115">
            <v>500970.5</v>
          </cell>
        </row>
        <row r="116">
          <cell r="B116" t="str">
            <v>9019585 0030</v>
          </cell>
          <cell r="C116" t="str">
            <v>IN</v>
          </cell>
          <cell r="D116" t="str">
            <v>9019585 0030</v>
          </cell>
          <cell r="E116">
            <v>37681</v>
          </cell>
          <cell r="F116">
            <v>2003</v>
          </cell>
          <cell r="G116">
            <v>3</v>
          </cell>
          <cell r="H116" t="str">
            <v>N</v>
          </cell>
          <cell r="I116">
            <v>37653</v>
          </cell>
          <cell r="K116">
            <v>37653</v>
          </cell>
          <cell r="L116">
            <v>70154.5</v>
          </cell>
          <cell r="N116">
            <v>70154.5</v>
          </cell>
          <cell r="O116">
            <v>70154.5</v>
          </cell>
          <cell r="Q116">
            <v>70154.5</v>
          </cell>
          <cell r="R116">
            <v>56396.04</v>
          </cell>
          <cell r="V116">
            <v>70154.5</v>
          </cell>
        </row>
        <row r="117">
          <cell r="B117" t="str">
            <v>9019585 0040</v>
          </cell>
          <cell r="C117" t="str">
            <v>IN</v>
          </cell>
          <cell r="D117" t="str">
            <v>9019585 0040</v>
          </cell>
          <cell r="E117">
            <v>37681</v>
          </cell>
          <cell r="F117">
            <v>2003</v>
          </cell>
          <cell r="G117">
            <v>3</v>
          </cell>
          <cell r="H117" t="str">
            <v>N</v>
          </cell>
          <cell r="I117">
            <v>20585</v>
          </cell>
          <cell r="K117">
            <v>20585</v>
          </cell>
          <cell r="L117">
            <v>53231.3</v>
          </cell>
          <cell r="N117">
            <v>53231.3</v>
          </cell>
          <cell r="O117">
            <v>53231.3</v>
          </cell>
          <cell r="Q117">
            <v>53231.3</v>
          </cell>
          <cell r="R117">
            <v>42791.78</v>
          </cell>
          <cell r="V117">
            <v>53231.3</v>
          </cell>
        </row>
        <row r="118">
          <cell r="B118" t="str">
            <v>9019585 0050</v>
          </cell>
          <cell r="C118" t="str">
            <v>IN</v>
          </cell>
          <cell r="D118" t="str">
            <v>9019585 0050</v>
          </cell>
          <cell r="E118">
            <v>37681</v>
          </cell>
          <cell r="F118">
            <v>2003</v>
          </cell>
          <cell r="G118">
            <v>3</v>
          </cell>
          <cell r="H118" t="str">
            <v>N</v>
          </cell>
          <cell r="I118">
            <v>18210</v>
          </cell>
          <cell r="K118">
            <v>18210</v>
          </cell>
          <cell r="L118">
            <v>33996</v>
          </cell>
          <cell r="N118">
            <v>33996</v>
          </cell>
          <cell r="O118">
            <v>33996</v>
          </cell>
          <cell r="Q118">
            <v>33996</v>
          </cell>
          <cell r="R118">
            <v>27329</v>
          </cell>
          <cell r="V118">
            <v>33996</v>
          </cell>
        </row>
        <row r="119">
          <cell r="B119" t="str">
            <v>9019585 0060</v>
          </cell>
          <cell r="C119" t="str">
            <v>IN</v>
          </cell>
          <cell r="D119" t="str">
            <v>9019585 0060</v>
          </cell>
          <cell r="E119">
            <v>37681</v>
          </cell>
          <cell r="F119">
            <v>2003</v>
          </cell>
          <cell r="G119">
            <v>3</v>
          </cell>
          <cell r="H119" t="str">
            <v>N</v>
          </cell>
          <cell r="I119">
            <v>4041</v>
          </cell>
          <cell r="K119">
            <v>4041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V119">
            <v>0</v>
          </cell>
        </row>
        <row r="120">
          <cell r="B120" t="str">
            <v>9019585 0070</v>
          </cell>
          <cell r="C120" t="str">
            <v>IN</v>
          </cell>
          <cell r="D120" t="str">
            <v>9019585 0070</v>
          </cell>
          <cell r="E120">
            <v>37681</v>
          </cell>
          <cell r="F120">
            <v>2003</v>
          </cell>
          <cell r="G120">
            <v>3</v>
          </cell>
          <cell r="H120" t="str">
            <v>N</v>
          </cell>
          <cell r="I120">
            <v>1684</v>
          </cell>
          <cell r="K120">
            <v>1684</v>
          </cell>
          <cell r="L120">
            <v>0</v>
          </cell>
          <cell r="N120">
            <v>0</v>
          </cell>
          <cell r="O120">
            <v>0</v>
          </cell>
          <cell r="Q120">
            <v>0</v>
          </cell>
          <cell r="V120">
            <v>0</v>
          </cell>
        </row>
        <row r="121">
          <cell r="B121" t="str">
            <v>9019585 0080</v>
          </cell>
          <cell r="C121" t="str">
            <v>AD</v>
          </cell>
          <cell r="D121" t="str">
            <v>9019585 0080</v>
          </cell>
          <cell r="E121">
            <v>37681</v>
          </cell>
          <cell r="F121">
            <v>2003</v>
          </cell>
          <cell r="G121">
            <v>3</v>
          </cell>
          <cell r="H121" t="str">
            <v>N</v>
          </cell>
          <cell r="I121">
            <v>14869</v>
          </cell>
          <cell r="K121">
            <v>14869</v>
          </cell>
          <cell r="L121">
            <v>16730.7</v>
          </cell>
          <cell r="N121">
            <v>16730.7</v>
          </cell>
          <cell r="O121">
            <v>16730.7</v>
          </cell>
          <cell r="Q121">
            <v>16730.7</v>
          </cell>
          <cell r="R121">
            <v>13449.57</v>
          </cell>
          <cell r="V121">
            <v>16730.7</v>
          </cell>
        </row>
        <row r="122">
          <cell r="B122" t="str">
            <v>9019585 0010</v>
          </cell>
          <cell r="C122" t="str">
            <v>IN</v>
          </cell>
          <cell r="D122" t="str">
            <v>9019585 0010</v>
          </cell>
          <cell r="E122">
            <v>37712</v>
          </cell>
          <cell r="F122">
            <v>2003</v>
          </cell>
          <cell r="G122">
            <v>4</v>
          </cell>
          <cell r="H122" t="str">
            <v>N</v>
          </cell>
          <cell r="I122">
            <v>0</v>
          </cell>
          <cell r="K122">
            <v>0</v>
          </cell>
          <cell r="L122">
            <v>0</v>
          </cell>
          <cell r="N122">
            <v>0</v>
          </cell>
          <cell r="O122">
            <v>0</v>
          </cell>
          <cell r="Q122">
            <v>0</v>
          </cell>
          <cell r="V122">
            <v>0</v>
          </cell>
        </row>
        <row r="123">
          <cell r="B123" t="str">
            <v>9019585 0020</v>
          </cell>
          <cell r="C123" t="str">
            <v>IN</v>
          </cell>
          <cell r="D123" t="str">
            <v>9019585 0020</v>
          </cell>
          <cell r="E123">
            <v>37712</v>
          </cell>
          <cell r="F123">
            <v>2003</v>
          </cell>
          <cell r="G123">
            <v>4</v>
          </cell>
          <cell r="H123" t="str">
            <v>N</v>
          </cell>
          <cell r="I123">
            <v>287456</v>
          </cell>
          <cell r="K123">
            <v>287456</v>
          </cell>
          <cell r="L123">
            <v>695983.2</v>
          </cell>
          <cell r="N123">
            <v>695983.2</v>
          </cell>
          <cell r="O123">
            <v>695983.2</v>
          </cell>
          <cell r="Q123">
            <v>695983.2</v>
          </cell>
          <cell r="R123">
            <v>578433.91</v>
          </cell>
          <cell r="V123">
            <v>695983.2</v>
          </cell>
        </row>
        <row r="124">
          <cell r="B124" t="str">
            <v>9019585 0030</v>
          </cell>
          <cell r="C124" t="str">
            <v>IN</v>
          </cell>
          <cell r="D124" t="str">
            <v>9019585 0030</v>
          </cell>
          <cell r="E124">
            <v>37712</v>
          </cell>
          <cell r="F124">
            <v>2003</v>
          </cell>
          <cell r="G124">
            <v>4</v>
          </cell>
          <cell r="H124" t="str">
            <v>N</v>
          </cell>
          <cell r="I124">
            <v>30122</v>
          </cell>
          <cell r="K124">
            <v>30122</v>
          </cell>
          <cell r="L124">
            <v>98399.1</v>
          </cell>
          <cell r="N124">
            <v>98399.1</v>
          </cell>
          <cell r="O124">
            <v>98399.1</v>
          </cell>
          <cell r="Q124">
            <v>98399.1</v>
          </cell>
          <cell r="R124">
            <v>81779.820000000007</v>
          </cell>
          <cell r="V124">
            <v>98399.1</v>
          </cell>
        </row>
        <row r="125">
          <cell r="B125" t="str">
            <v>9019585 0040</v>
          </cell>
          <cell r="C125" t="str">
            <v>IN</v>
          </cell>
          <cell r="D125" t="str">
            <v>9019585 0040</v>
          </cell>
          <cell r="E125">
            <v>37712</v>
          </cell>
          <cell r="F125">
            <v>2003</v>
          </cell>
          <cell r="G125">
            <v>4</v>
          </cell>
          <cell r="H125" t="str">
            <v>N</v>
          </cell>
          <cell r="I125">
            <v>20585</v>
          </cell>
          <cell r="K125">
            <v>20585</v>
          </cell>
          <cell r="L125">
            <v>37789</v>
          </cell>
          <cell r="N125">
            <v>37789</v>
          </cell>
          <cell r="O125">
            <v>37789</v>
          </cell>
          <cell r="Q125">
            <v>37789</v>
          </cell>
          <cell r="R125">
            <v>31406.55</v>
          </cell>
          <cell r="V125">
            <v>37789</v>
          </cell>
        </row>
        <row r="126">
          <cell r="B126" t="str">
            <v>9019585 0050</v>
          </cell>
          <cell r="C126" t="str">
            <v>IN</v>
          </cell>
          <cell r="D126" t="str">
            <v>9019585 0050</v>
          </cell>
          <cell r="E126">
            <v>37712</v>
          </cell>
          <cell r="F126">
            <v>2003</v>
          </cell>
          <cell r="G126">
            <v>4</v>
          </cell>
          <cell r="H126" t="str">
            <v>N</v>
          </cell>
          <cell r="I126">
            <v>18210</v>
          </cell>
          <cell r="K126">
            <v>18210</v>
          </cell>
          <cell r="L126">
            <v>21849.8</v>
          </cell>
          <cell r="N126">
            <v>21849.8</v>
          </cell>
          <cell r="O126">
            <v>21849.8</v>
          </cell>
          <cell r="Q126">
            <v>21849.8</v>
          </cell>
          <cell r="R126">
            <v>18159.39</v>
          </cell>
          <cell r="V126">
            <v>21849.8</v>
          </cell>
        </row>
        <row r="127">
          <cell r="B127" t="str">
            <v>9019585 0060</v>
          </cell>
          <cell r="C127" t="str">
            <v>IN</v>
          </cell>
          <cell r="D127" t="str">
            <v>9019585 0060</v>
          </cell>
          <cell r="E127">
            <v>37712</v>
          </cell>
          <cell r="F127">
            <v>2003</v>
          </cell>
          <cell r="G127">
            <v>4</v>
          </cell>
          <cell r="H127" t="str">
            <v>N</v>
          </cell>
          <cell r="I127">
            <v>4041</v>
          </cell>
          <cell r="K127">
            <v>4041</v>
          </cell>
          <cell r="L127">
            <v>0</v>
          </cell>
          <cell r="N127">
            <v>0</v>
          </cell>
          <cell r="O127">
            <v>0</v>
          </cell>
          <cell r="Q127">
            <v>0</v>
          </cell>
          <cell r="V127">
            <v>0</v>
          </cell>
        </row>
        <row r="128">
          <cell r="B128" t="str">
            <v>9019585 0070</v>
          </cell>
          <cell r="C128" t="str">
            <v>IN</v>
          </cell>
          <cell r="D128" t="str">
            <v>9019585 0070</v>
          </cell>
          <cell r="E128">
            <v>37712</v>
          </cell>
          <cell r="F128">
            <v>2003</v>
          </cell>
          <cell r="G128">
            <v>4</v>
          </cell>
          <cell r="H128" t="str">
            <v>N</v>
          </cell>
          <cell r="I128">
            <v>1684</v>
          </cell>
          <cell r="K128">
            <v>1684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V128">
            <v>0</v>
          </cell>
        </row>
        <row r="129">
          <cell r="B129" t="str">
            <v>9019585 0080</v>
          </cell>
          <cell r="C129" t="str">
            <v>AD</v>
          </cell>
          <cell r="D129" t="str">
            <v>9019585 0080</v>
          </cell>
          <cell r="E129">
            <v>37712</v>
          </cell>
          <cell r="F129">
            <v>2003</v>
          </cell>
          <cell r="G129">
            <v>4</v>
          </cell>
          <cell r="H129" t="str">
            <v>N</v>
          </cell>
          <cell r="I129">
            <v>14869</v>
          </cell>
          <cell r="K129">
            <v>14869</v>
          </cell>
          <cell r="L129">
            <v>20055.900000000001</v>
          </cell>
          <cell r="N129">
            <v>20055.900000000001</v>
          </cell>
          <cell r="O129">
            <v>20055.900000000001</v>
          </cell>
          <cell r="Q129">
            <v>20055.900000000001</v>
          </cell>
          <cell r="R129">
            <v>16668.63</v>
          </cell>
          <cell r="V129">
            <v>20055.900000000001</v>
          </cell>
        </row>
        <row r="130">
          <cell r="B130" t="str">
            <v>9019585 0010</v>
          </cell>
          <cell r="C130" t="str">
            <v>IN</v>
          </cell>
          <cell r="D130" t="str">
            <v>9019585 0010</v>
          </cell>
          <cell r="E130">
            <v>37742</v>
          </cell>
          <cell r="F130">
            <v>2003</v>
          </cell>
          <cell r="G130">
            <v>5</v>
          </cell>
          <cell r="H130" t="str">
            <v>N</v>
          </cell>
          <cell r="I130">
            <v>102896</v>
          </cell>
          <cell r="K130">
            <v>102896</v>
          </cell>
          <cell r="L130">
            <v>0</v>
          </cell>
          <cell r="N130">
            <v>0</v>
          </cell>
          <cell r="O130">
            <v>0</v>
          </cell>
          <cell r="Q130">
            <v>0</v>
          </cell>
          <cell r="V130">
            <v>0</v>
          </cell>
        </row>
        <row r="131">
          <cell r="B131" t="str">
            <v>9019585 0020</v>
          </cell>
          <cell r="C131" t="str">
            <v>IN</v>
          </cell>
          <cell r="D131" t="str">
            <v>9019585 0020</v>
          </cell>
          <cell r="E131">
            <v>37742</v>
          </cell>
          <cell r="F131">
            <v>2003</v>
          </cell>
          <cell r="G131">
            <v>5</v>
          </cell>
          <cell r="H131" t="str">
            <v>N</v>
          </cell>
          <cell r="I131">
            <v>1148040</v>
          </cell>
          <cell r="K131">
            <v>1148040</v>
          </cell>
          <cell r="L131">
            <v>733329.8</v>
          </cell>
          <cell r="N131">
            <v>733329.8</v>
          </cell>
          <cell r="O131">
            <v>733329.8</v>
          </cell>
          <cell r="Q131">
            <v>733329.8</v>
          </cell>
          <cell r="R131">
            <v>619802.48</v>
          </cell>
          <cell r="V131">
            <v>733329.8</v>
          </cell>
        </row>
        <row r="132">
          <cell r="B132" t="str">
            <v>9019585 0030</v>
          </cell>
          <cell r="C132" t="str">
            <v>IN</v>
          </cell>
          <cell r="D132" t="str">
            <v>9019585 0030</v>
          </cell>
          <cell r="E132">
            <v>37742</v>
          </cell>
          <cell r="F132">
            <v>2003</v>
          </cell>
          <cell r="G132">
            <v>5</v>
          </cell>
          <cell r="H132" t="str">
            <v>N</v>
          </cell>
          <cell r="I132">
            <v>30122</v>
          </cell>
          <cell r="K132">
            <v>30122</v>
          </cell>
          <cell r="L132">
            <v>94821.8</v>
          </cell>
          <cell r="N132">
            <v>94821.8</v>
          </cell>
          <cell r="O132">
            <v>94821.8</v>
          </cell>
          <cell r="Q132">
            <v>94821.8</v>
          </cell>
          <cell r="R132">
            <v>80142.37</v>
          </cell>
          <cell r="V132">
            <v>94821.8</v>
          </cell>
        </row>
        <row r="133">
          <cell r="B133" t="str">
            <v>9019585 0040</v>
          </cell>
          <cell r="C133" t="str">
            <v>IN</v>
          </cell>
          <cell r="D133" t="str">
            <v>9019585 0040</v>
          </cell>
          <cell r="E133">
            <v>37742</v>
          </cell>
          <cell r="F133">
            <v>2003</v>
          </cell>
          <cell r="G133">
            <v>5</v>
          </cell>
          <cell r="H133" t="str">
            <v>N</v>
          </cell>
          <cell r="I133">
            <v>20585</v>
          </cell>
          <cell r="K133">
            <v>20585</v>
          </cell>
          <cell r="L133">
            <v>27640</v>
          </cell>
          <cell r="N133">
            <v>27640</v>
          </cell>
          <cell r="O133">
            <v>27640</v>
          </cell>
          <cell r="Q133">
            <v>27640</v>
          </cell>
          <cell r="R133">
            <v>23361.01</v>
          </cell>
          <cell r="V133">
            <v>27640</v>
          </cell>
        </row>
        <row r="134">
          <cell r="B134" t="str">
            <v>9019585 0050</v>
          </cell>
          <cell r="C134" t="str">
            <v>IN</v>
          </cell>
          <cell r="D134" t="str">
            <v>9019585 0050</v>
          </cell>
          <cell r="E134">
            <v>37742</v>
          </cell>
          <cell r="F134">
            <v>2003</v>
          </cell>
          <cell r="G134">
            <v>5</v>
          </cell>
          <cell r="H134" t="str">
            <v>N</v>
          </cell>
          <cell r="I134">
            <v>18210</v>
          </cell>
          <cell r="K134">
            <v>18210</v>
          </cell>
          <cell r="L134">
            <v>26847.4</v>
          </cell>
          <cell r="N134">
            <v>26847.4</v>
          </cell>
          <cell r="O134">
            <v>26847.4</v>
          </cell>
          <cell r="Q134">
            <v>26847.4</v>
          </cell>
          <cell r="R134">
            <v>22690.97</v>
          </cell>
          <cell r="V134">
            <v>26847.4</v>
          </cell>
        </row>
        <row r="135">
          <cell r="B135" t="str">
            <v>9019585 0060</v>
          </cell>
          <cell r="C135" t="str">
            <v>IN</v>
          </cell>
          <cell r="D135" t="str">
            <v>9019585 0060</v>
          </cell>
          <cell r="E135">
            <v>37742</v>
          </cell>
          <cell r="F135">
            <v>2003</v>
          </cell>
          <cell r="G135">
            <v>5</v>
          </cell>
          <cell r="H135" t="str">
            <v>N</v>
          </cell>
          <cell r="I135">
            <v>4041</v>
          </cell>
          <cell r="K135">
            <v>4041</v>
          </cell>
          <cell r="L135">
            <v>0</v>
          </cell>
          <cell r="N135">
            <v>0</v>
          </cell>
          <cell r="O135">
            <v>0</v>
          </cell>
          <cell r="Q135">
            <v>0</v>
          </cell>
          <cell r="V135">
            <v>0</v>
          </cell>
        </row>
        <row r="136">
          <cell r="B136" t="str">
            <v>9019585 0070</v>
          </cell>
          <cell r="C136" t="str">
            <v>IN</v>
          </cell>
          <cell r="D136" t="str">
            <v>9019585 0070</v>
          </cell>
          <cell r="E136">
            <v>37742</v>
          </cell>
          <cell r="F136">
            <v>2003</v>
          </cell>
          <cell r="G136">
            <v>5</v>
          </cell>
          <cell r="H136" t="str">
            <v>N</v>
          </cell>
          <cell r="I136">
            <v>1684</v>
          </cell>
          <cell r="K136">
            <v>1684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V136">
            <v>0</v>
          </cell>
        </row>
        <row r="137">
          <cell r="B137" t="str">
            <v>9019585 0080</v>
          </cell>
          <cell r="C137" t="str">
            <v>AD</v>
          </cell>
          <cell r="D137" t="str">
            <v>9019585 0080</v>
          </cell>
          <cell r="E137">
            <v>37742</v>
          </cell>
          <cell r="F137">
            <v>2003</v>
          </cell>
          <cell r="G137">
            <v>5</v>
          </cell>
          <cell r="H137" t="str">
            <v>N</v>
          </cell>
          <cell r="I137">
            <v>14869</v>
          </cell>
          <cell r="K137">
            <v>14869</v>
          </cell>
          <cell r="L137">
            <v>16036.7</v>
          </cell>
          <cell r="N137">
            <v>16036.7</v>
          </cell>
          <cell r="O137">
            <v>16036.7</v>
          </cell>
          <cell r="Q137">
            <v>16036.7</v>
          </cell>
          <cell r="R137">
            <v>13553.92</v>
          </cell>
          <cell r="V137">
            <v>16036.7</v>
          </cell>
        </row>
        <row r="138">
          <cell r="B138" t="str">
            <v>9019585 0010</v>
          </cell>
          <cell r="C138" t="str">
            <v>IN</v>
          </cell>
          <cell r="D138" t="str">
            <v>9019585 0010</v>
          </cell>
          <cell r="E138">
            <v>37773</v>
          </cell>
          <cell r="F138">
            <v>2003</v>
          </cell>
          <cell r="G138">
            <v>6</v>
          </cell>
          <cell r="H138" t="str">
            <v>N</v>
          </cell>
          <cell r="I138">
            <v>0</v>
          </cell>
          <cell r="K138">
            <v>0</v>
          </cell>
          <cell r="L138">
            <v>-988.9</v>
          </cell>
          <cell r="N138">
            <v>-988.9</v>
          </cell>
          <cell r="O138">
            <v>-988.9</v>
          </cell>
          <cell r="Q138">
            <v>-988.9</v>
          </cell>
          <cell r="R138">
            <v>0</v>
          </cell>
          <cell r="V138">
            <v>-988.9</v>
          </cell>
        </row>
        <row r="139">
          <cell r="B139" t="str">
            <v>9019585 0020</v>
          </cell>
          <cell r="C139" t="str">
            <v>IN</v>
          </cell>
          <cell r="D139" t="str">
            <v>9019585 0020</v>
          </cell>
          <cell r="E139">
            <v>37773</v>
          </cell>
          <cell r="F139">
            <v>2003</v>
          </cell>
          <cell r="G139">
            <v>6</v>
          </cell>
          <cell r="H139" t="str">
            <v>N</v>
          </cell>
          <cell r="I139">
            <v>119627</v>
          </cell>
          <cell r="K139">
            <v>119627</v>
          </cell>
          <cell r="L139">
            <v>407415.9</v>
          </cell>
          <cell r="N139">
            <v>407415.9</v>
          </cell>
          <cell r="O139">
            <v>407415.9</v>
          </cell>
          <cell r="Q139">
            <v>407415.9</v>
          </cell>
          <cell r="R139">
            <v>341624.49</v>
          </cell>
          <cell r="V139">
            <v>407415.9</v>
          </cell>
        </row>
        <row r="140">
          <cell r="B140" t="str">
            <v>9019585 0030</v>
          </cell>
          <cell r="C140" t="str">
            <v>IN</v>
          </cell>
          <cell r="D140" t="str">
            <v>9019585 0030</v>
          </cell>
          <cell r="E140">
            <v>37773</v>
          </cell>
          <cell r="F140">
            <v>2003</v>
          </cell>
          <cell r="G140">
            <v>6</v>
          </cell>
          <cell r="H140" t="str">
            <v>N</v>
          </cell>
          <cell r="I140">
            <v>30118</v>
          </cell>
          <cell r="K140">
            <v>30118</v>
          </cell>
          <cell r="L140">
            <v>80719.899999999994</v>
          </cell>
          <cell r="N140">
            <v>80719.899999999994</v>
          </cell>
          <cell r="O140">
            <v>80719.899999999994</v>
          </cell>
          <cell r="Q140">
            <v>80719.899999999994</v>
          </cell>
          <cell r="R140">
            <v>67684.86</v>
          </cell>
          <cell r="V140">
            <v>80719.899999999994</v>
          </cell>
        </row>
        <row r="141">
          <cell r="B141" t="str">
            <v>9019585 0040</v>
          </cell>
          <cell r="C141" t="str">
            <v>IN</v>
          </cell>
          <cell r="D141" t="str">
            <v>9019585 0040</v>
          </cell>
          <cell r="E141">
            <v>37773</v>
          </cell>
          <cell r="F141">
            <v>2003</v>
          </cell>
          <cell r="G141">
            <v>6</v>
          </cell>
          <cell r="H141" t="str">
            <v>N</v>
          </cell>
          <cell r="I141">
            <v>20585</v>
          </cell>
          <cell r="K141">
            <v>20585</v>
          </cell>
          <cell r="L141">
            <v>22470.2</v>
          </cell>
          <cell r="N141">
            <v>22470.2</v>
          </cell>
          <cell r="O141">
            <v>22470.2</v>
          </cell>
          <cell r="Q141">
            <v>22470.2</v>
          </cell>
          <cell r="R141">
            <v>18841.669999999998</v>
          </cell>
          <cell r="V141">
            <v>22470.2</v>
          </cell>
        </row>
        <row r="142">
          <cell r="B142" t="str">
            <v>9019585 0050</v>
          </cell>
          <cell r="C142" t="str">
            <v>IN</v>
          </cell>
          <cell r="D142" t="str">
            <v>9019585 0050</v>
          </cell>
          <cell r="E142">
            <v>37773</v>
          </cell>
          <cell r="F142">
            <v>2003</v>
          </cell>
          <cell r="G142">
            <v>6</v>
          </cell>
          <cell r="H142" t="str">
            <v>N</v>
          </cell>
          <cell r="I142">
            <v>18210</v>
          </cell>
          <cell r="K142">
            <v>18210</v>
          </cell>
          <cell r="L142">
            <v>21643.3</v>
          </cell>
          <cell r="N142">
            <v>21643.3</v>
          </cell>
          <cell r="O142">
            <v>21643.3</v>
          </cell>
          <cell r="Q142">
            <v>21643.3</v>
          </cell>
          <cell r="R142">
            <v>18148.09</v>
          </cell>
          <cell r="V142">
            <v>21643.3</v>
          </cell>
        </row>
        <row r="143">
          <cell r="B143" t="str">
            <v>9019585 0060</v>
          </cell>
          <cell r="C143" t="str">
            <v>IN</v>
          </cell>
          <cell r="D143" t="str">
            <v>9019585 0060</v>
          </cell>
          <cell r="E143">
            <v>37773</v>
          </cell>
          <cell r="F143">
            <v>2003</v>
          </cell>
          <cell r="G143">
            <v>6</v>
          </cell>
          <cell r="H143" t="str">
            <v>N</v>
          </cell>
          <cell r="I143">
            <v>4041</v>
          </cell>
          <cell r="K143">
            <v>4041</v>
          </cell>
          <cell r="L143">
            <v>324.3</v>
          </cell>
          <cell r="N143">
            <v>324.3</v>
          </cell>
          <cell r="O143">
            <v>324.3</v>
          </cell>
          <cell r="Q143">
            <v>324.3</v>
          </cell>
          <cell r="R143">
            <v>320</v>
          </cell>
          <cell r="V143">
            <v>324.3</v>
          </cell>
        </row>
        <row r="144">
          <cell r="B144" t="str">
            <v>9019585 0070</v>
          </cell>
          <cell r="C144" t="str">
            <v>IN</v>
          </cell>
          <cell r="D144" t="str">
            <v>9019585 0070</v>
          </cell>
          <cell r="E144">
            <v>37773</v>
          </cell>
          <cell r="F144">
            <v>2003</v>
          </cell>
          <cell r="G144">
            <v>6</v>
          </cell>
          <cell r="H144" t="str">
            <v>N</v>
          </cell>
          <cell r="I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Q144">
            <v>0</v>
          </cell>
          <cell r="V144">
            <v>0</v>
          </cell>
        </row>
        <row r="145">
          <cell r="B145" t="str">
            <v>9019585 0080</v>
          </cell>
          <cell r="C145" t="str">
            <v>AD</v>
          </cell>
          <cell r="D145" t="str">
            <v>9019585 0080</v>
          </cell>
          <cell r="E145">
            <v>37773</v>
          </cell>
          <cell r="F145">
            <v>2003</v>
          </cell>
          <cell r="G145">
            <v>6</v>
          </cell>
          <cell r="H145" t="str">
            <v>N</v>
          </cell>
          <cell r="I145">
            <v>14869</v>
          </cell>
          <cell r="K145">
            <v>14869</v>
          </cell>
          <cell r="L145">
            <v>5782.2</v>
          </cell>
          <cell r="N145">
            <v>5782.2</v>
          </cell>
          <cell r="O145">
            <v>5782.2</v>
          </cell>
          <cell r="Q145">
            <v>5782.2</v>
          </cell>
          <cell r="R145">
            <v>4848.41</v>
          </cell>
          <cell r="V145">
            <v>5782.2</v>
          </cell>
        </row>
        <row r="146">
          <cell r="B146" t="str">
            <v>9019585 0010</v>
          </cell>
          <cell r="C146" t="str">
            <v>IN</v>
          </cell>
          <cell r="D146" t="str">
            <v>9019585 0010</v>
          </cell>
          <cell r="E146">
            <v>37803</v>
          </cell>
          <cell r="F146">
            <v>2003</v>
          </cell>
          <cell r="G146">
            <v>7</v>
          </cell>
          <cell r="H146" t="str">
            <v>N</v>
          </cell>
          <cell r="I146">
            <v>0</v>
          </cell>
          <cell r="K146">
            <v>0</v>
          </cell>
          <cell r="L146">
            <v>116.4</v>
          </cell>
          <cell r="N146">
            <v>116.4</v>
          </cell>
          <cell r="O146">
            <v>116.4</v>
          </cell>
          <cell r="Q146">
            <v>116.4</v>
          </cell>
          <cell r="R146">
            <v>98.67</v>
          </cell>
          <cell r="V146">
            <v>116.4</v>
          </cell>
        </row>
        <row r="147">
          <cell r="B147" t="str">
            <v>9019585 0020</v>
          </cell>
          <cell r="C147" t="str">
            <v>IN</v>
          </cell>
          <cell r="D147" t="str">
            <v>9019585 0020</v>
          </cell>
          <cell r="E147">
            <v>37803</v>
          </cell>
          <cell r="F147">
            <v>2003</v>
          </cell>
          <cell r="G147">
            <v>7</v>
          </cell>
          <cell r="H147" t="str">
            <v>N</v>
          </cell>
          <cell r="I147">
            <v>0</v>
          </cell>
          <cell r="K147">
            <v>0</v>
          </cell>
          <cell r="L147">
            <v>-2783.4</v>
          </cell>
          <cell r="N147">
            <v>-2783.4</v>
          </cell>
          <cell r="O147">
            <v>-2783.4</v>
          </cell>
          <cell r="Q147">
            <v>-2783.4</v>
          </cell>
          <cell r="R147">
            <v>-2358.64</v>
          </cell>
          <cell r="V147">
            <v>-2783.4</v>
          </cell>
        </row>
        <row r="148">
          <cell r="B148" t="str">
            <v>9019585 0030</v>
          </cell>
          <cell r="C148" t="str">
            <v>IN</v>
          </cell>
          <cell r="D148" t="str">
            <v>9019585 0030</v>
          </cell>
          <cell r="E148">
            <v>37803</v>
          </cell>
          <cell r="F148">
            <v>2003</v>
          </cell>
          <cell r="G148">
            <v>7</v>
          </cell>
          <cell r="H148" t="str">
            <v>N</v>
          </cell>
          <cell r="I148">
            <v>0</v>
          </cell>
          <cell r="K148">
            <v>0</v>
          </cell>
          <cell r="L148">
            <v>33551.4</v>
          </cell>
          <cell r="N148">
            <v>33551.4</v>
          </cell>
          <cell r="O148">
            <v>33551.4</v>
          </cell>
          <cell r="Q148">
            <v>33551.4</v>
          </cell>
          <cell r="R148">
            <v>28431.21</v>
          </cell>
          <cell r="V148">
            <v>33551.4</v>
          </cell>
        </row>
        <row r="149">
          <cell r="B149" t="str">
            <v>9019585 0040</v>
          </cell>
          <cell r="C149" t="str">
            <v>IN</v>
          </cell>
          <cell r="D149" t="str">
            <v>9019585 0040</v>
          </cell>
          <cell r="E149">
            <v>37803</v>
          </cell>
          <cell r="F149">
            <v>2003</v>
          </cell>
          <cell r="G149">
            <v>7</v>
          </cell>
          <cell r="H149" t="str">
            <v>N</v>
          </cell>
          <cell r="I149">
            <v>20585</v>
          </cell>
          <cell r="K149">
            <v>20585</v>
          </cell>
          <cell r="L149">
            <v>-95303.5</v>
          </cell>
          <cell r="N149">
            <v>-95303.5</v>
          </cell>
          <cell r="O149">
            <v>-95303.5</v>
          </cell>
          <cell r="Q149">
            <v>-95303.5</v>
          </cell>
          <cell r="R149">
            <v>-80759.27</v>
          </cell>
          <cell r="V149">
            <v>-95303.5</v>
          </cell>
        </row>
        <row r="150">
          <cell r="B150" t="str">
            <v>9019585 0050</v>
          </cell>
          <cell r="C150" t="str">
            <v>IN</v>
          </cell>
          <cell r="D150" t="str">
            <v>9019585 0050</v>
          </cell>
          <cell r="E150">
            <v>37803</v>
          </cell>
          <cell r="F150">
            <v>2003</v>
          </cell>
          <cell r="G150">
            <v>7</v>
          </cell>
          <cell r="H150" t="str">
            <v>N</v>
          </cell>
          <cell r="I150">
            <v>18210</v>
          </cell>
          <cell r="K150">
            <v>18210</v>
          </cell>
          <cell r="L150">
            <v>23379.9</v>
          </cell>
          <cell r="N150">
            <v>23379.9</v>
          </cell>
          <cell r="O150">
            <v>23379.9</v>
          </cell>
          <cell r="Q150">
            <v>23379.9</v>
          </cell>
          <cell r="R150">
            <v>19812.240000000002</v>
          </cell>
          <cell r="V150">
            <v>23379.9</v>
          </cell>
        </row>
        <row r="151">
          <cell r="B151" t="str">
            <v>9019585 0060</v>
          </cell>
          <cell r="C151" t="str">
            <v>IN</v>
          </cell>
          <cell r="D151" t="str">
            <v>9019585 0060</v>
          </cell>
          <cell r="E151">
            <v>37803</v>
          </cell>
          <cell r="F151">
            <v>2003</v>
          </cell>
          <cell r="G151">
            <v>7</v>
          </cell>
          <cell r="H151" t="str">
            <v>N</v>
          </cell>
          <cell r="I151">
            <v>4041</v>
          </cell>
          <cell r="K151">
            <v>4041</v>
          </cell>
          <cell r="L151">
            <v>13221.1</v>
          </cell>
          <cell r="N151">
            <v>13221.1</v>
          </cell>
          <cell r="O151">
            <v>13221.1</v>
          </cell>
          <cell r="Q151">
            <v>13221.1</v>
          </cell>
          <cell r="R151">
            <v>13026.44</v>
          </cell>
          <cell r="V151">
            <v>13221.1</v>
          </cell>
        </row>
        <row r="152">
          <cell r="B152" t="str">
            <v>9019585 0070</v>
          </cell>
          <cell r="C152" t="str">
            <v>IN</v>
          </cell>
          <cell r="D152" t="str">
            <v>9019585 0070</v>
          </cell>
          <cell r="E152">
            <v>37803</v>
          </cell>
          <cell r="F152">
            <v>2003</v>
          </cell>
          <cell r="G152">
            <v>7</v>
          </cell>
          <cell r="H152" t="str">
            <v>N</v>
          </cell>
          <cell r="I152">
            <v>1684</v>
          </cell>
          <cell r="K152">
            <v>1684</v>
          </cell>
          <cell r="L152">
            <v>0</v>
          </cell>
          <cell r="N152">
            <v>0</v>
          </cell>
          <cell r="O152">
            <v>0</v>
          </cell>
          <cell r="Q152">
            <v>0</v>
          </cell>
          <cell r="V152">
            <v>0</v>
          </cell>
        </row>
        <row r="153">
          <cell r="B153" t="str">
            <v>9019585 0080</v>
          </cell>
          <cell r="C153" t="str">
            <v>AD</v>
          </cell>
          <cell r="D153" t="str">
            <v>9019585 0080</v>
          </cell>
          <cell r="E153">
            <v>37803</v>
          </cell>
          <cell r="F153">
            <v>2003</v>
          </cell>
          <cell r="G153">
            <v>7</v>
          </cell>
          <cell r="H153" t="str">
            <v>N</v>
          </cell>
          <cell r="I153">
            <v>14869</v>
          </cell>
          <cell r="K153">
            <v>14869</v>
          </cell>
          <cell r="L153">
            <v>7748.4</v>
          </cell>
          <cell r="N153">
            <v>7748.4</v>
          </cell>
          <cell r="O153">
            <v>7748.4</v>
          </cell>
          <cell r="Q153">
            <v>7748.4</v>
          </cell>
          <cell r="R153">
            <v>6565.91</v>
          </cell>
          <cell r="V153">
            <v>7748.4</v>
          </cell>
        </row>
        <row r="154">
          <cell r="B154" t="str">
            <v>9019585 0010</v>
          </cell>
          <cell r="C154" t="str">
            <v>IN</v>
          </cell>
          <cell r="D154" t="str">
            <v>9019585 0010</v>
          </cell>
          <cell r="E154">
            <v>37834</v>
          </cell>
          <cell r="F154">
            <v>2003</v>
          </cell>
          <cell r="G154">
            <v>8</v>
          </cell>
          <cell r="H154" t="str">
            <v>N</v>
          </cell>
          <cell r="I154">
            <v>30115</v>
          </cell>
          <cell r="K154">
            <v>30115</v>
          </cell>
          <cell r="L154">
            <v>36.299999999999997</v>
          </cell>
          <cell r="N154">
            <v>36.299999999999997</v>
          </cell>
          <cell r="O154">
            <v>36.299999999999997</v>
          </cell>
          <cell r="Q154">
            <v>36.299999999999997</v>
          </cell>
          <cell r="R154">
            <v>30.69</v>
          </cell>
          <cell r="V154">
            <v>36.299999999999997</v>
          </cell>
        </row>
        <row r="155">
          <cell r="B155" t="str">
            <v>9019585 0020</v>
          </cell>
          <cell r="C155" t="str">
            <v>IN</v>
          </cell>
          <cell r="D155" t="str">
            <v>9019585 0020</v>
          </cell>
          <cell r="E155">
            <v>37834</v>
          </cell>
          <cell r="F155">
            <v>2003</v>
          </cell>
          <cell r="G155">
            <v>8</v>
          </cell>
          <cell r="H155" t="str">
            <v>N</v>
          </cell>
          <cell r="I155">
            <v>0</v>
          </cell>
          <cell r="K155">
            <v>0</v>
          </cell>
          <cell r="L155">
            <v>0</v>
          </cell>
          <cell r="N155">
            <v>0</v>
          </cell>
          <cell r="O155">
            <v>0</v>
          </cell>
          <cell r="Q155">
            <v>0</v>
          </cell>
          <cell r="V155">
            <v>0</v>
          </cell>
        </row>
        <row r="156">
          <cell r="B156" t="str">
            <v>9019585 0030</v>
          </cell>
          <cell r="C156" t="str">
            <v>IN</v>
          </cell>
          <cell r="D156" t="str">
            <v>9019585 0030</v>
          </cell>
          <cell r="E156">
            <v>37834</v>
          </cell>
          <cell r="F156">
            <v>2003</v>
          </cell>
          <cell r="G156">
            <v>8</v>
          </cell>
          <cell r="H156" t="str">
            <v>N</v>
          </cell>
          <cell r="I156">
            <v>0</v>
          </cell>
          <cell r="K156">
            <v>0</v>
          </cell>
          <cell r="L156">
            <v>14351.2</v>
          </cell>
          <cell r="N156">
            <v>14351.2</v>
          </cell>
          <cell r="O156">
            <v>14351.2</v>
          </cell>
          <cell r="Q156">
            <v>14351.2</v>
          </cell>
          <cell r="R156">
            <v>12135.73</v>
          </cell>
          <cell r="V156">
            <v>14351.2</v>
          </cell>
        </row>
        <row r="157">
          <cell r="B157" t="str">
            <v>9019585 0040</v>
          </cell>
          <cell r="C157" t="str">
            <v>IN</v>
          </cell>
          <cell r="D157" t="str">
            <v>9019585 0040</v>
          </cell>
          <cell r="E157">
            <v>37834</v>
          </cell>
          <cell r="F157">
            <v>2003</v>
          </cell>
          <cell r="G157">
            <v>8</v>
          </cell>
          <cell r="H157" t="str">
            <v>N</v>
          </cell>
          <cell r="I157">
            <v>144095</v>
          </cell>
          <cell r="K157">
            <v>144095</v>
          </cell>
          <cell r="L157">
            <v>19969</v>
          </cell>
          <cell r="N157">
            <v>19969</v>
          </cell>
          <cell r="O157">
            <v>19969</v>
          </cell>
          <cell r="Q157">
            <v>19969</v>
          </cell>
          <cell r="R157">
            <v>16886.240000000002</v>
          </cell>
          <cell r="V157">
            <v>19969</v>
          </cell>
        </row>
        <row r="158">
          <cell r="B158" t="str">
            <v>9019585 0050</v>
          </cell>
          <cell r="C158" t="str">
            <v>IN</v>
          </cell>
          <cell r="D158" t="str">
            <v>9019585 0050</v>
          </cell>
          <cell r="E158">
            <v>37834</v>
          </cell>
          <cell r="F158">
            <v>2003</v>
          </cell>
          <cell r="G158">
            <v>8</v>
          </cell>
          <cell r="H158" t="str">
            <v>N</v>
          </cell>
          <cell r="I158">
            <v>18200</v>
          </cell>
          <cell r="K158">
            <v>18200</v>
          </cell>
          <cell r="L158">
            <v>24983.8</v>
          </cell>
          <cell r="N158">
            <v>24983.8</v>
          </cell>
          <cell r="O158">
            <v>24983.8</v>
          </cell>
          <cell r="Q158">
            <v>24983.8</v>
          </cell>
          <cell r="R158">
            <v>21126.75</v>
          </cell>
          <cell r="V158">
            <v>24983.8</v>
          </cell>
        </row>
        <row r="159">
          <cell r="B159" t="str">
            <v>9019585 0060</v>
          </cell>
          <cell r="C159" t="str">
            <v>IN</v>
          </cell>
          <cell r="D159" t="str">
            <v>9019585 0060</v>
          </cell>
          <cell r="E159">
            <v>37834</v>
          </cell>
          <cell r="F159">
            <v>2003</v>
          </cell>
          <cell r="G159">
            <v>8</v>
          </cell>
          <cell r="H159" t="str">
            <v>N</v>
          </cell>
          <cell r="I159">
            <v>4046</v>
          </cell>
          <cell r="K159">
            <v>4046</v>
          </cell>
          <cell r="L159">
            <v>0</v>
          </cell>
          <cell r="N159">
            <v>0</v>
          </cell>
          <cell r="O159">
            <v>0</v>
          </cell>
          <cell r="Q159">
            <v>0</v>
          </cell>
          <cell r="V159">
            <v>0</v>
          </cell>
        </row>
        <row r="160">
          <cell r="B160" t="str">
            <v>9019585 0070</v>
          </cell>
          <cell r="C160" t="str">
            <v>IN</v>
          </cell>
          <cell r="D160" t="str">
            <v>9019585 0070</v>
          </cell>
          <cell r="E160">
            <v>37834</v>
          </cell>
          <cell r="F160">
            <v>2003</v>
          </cell>
          <cell r="G160">
            <v>8</v>
          </cell>
          <cell r="H160" t="str">
            <v>N</v>
          </cell>
          <cell r="I160">
            <v>1681</v>
          </cell>
          <cell r="K160">
            <v>1681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V160">
            <v>0</v>
          </cell>
        </row>
        <row r="161">
          <cell r="B161" t="str">
            <v>9019585 0080</v>
          </cell>
          <cell r="C161" t="str">
            <v>AD</v>
          </cell>
          <cell r="D161" t="str">
            <v>9019585 0080</v>
          </cell>
          <cell r="E161">
            <v>37834</v>
          </cell>
          <cell r="F161">
            <v>2003</v>
          </cell>
          <cell r="G161">
            <v>8</v>
          </cell>
          <cell r="H161" t="str">
            <v>N</v>
          </cell>
          <cell r="I161">
            <v>14869</v>
          </cell>
          <cell r="K161">
            <v>14869</v>
          </cell>
          <cell r="L161">
            <v>2669.7</v>
          </cell>
          <cell r="N161">
            <v>2669.7</v>
          </cell>
          <cell r="O161">
            <v>2669.7</v>
          </cell>
          <cell r="Q161">
            <v>2669.7</v>
          </cell>
          <cell r="R161">
            <v>2257.56</v>
          </cell>
          <cell r="V161">
            <v>2669.7</v>
          </cell>
        </row>
        <row r="162">
          <cell r="B162" t="str">
            <v>9019585 0010</v>
          </cell>
          <cell r="C162" t="str">
            <v>IN</v>
          </cell>
          <cell r="D162" t="str">
            <v>9019585 0010</v>
          </cell>
          <cell r="E162">
            <v>37865</v>
          </cell>
          <cell r="F162">
            <v>2003</v>
          </cell>
          <cell r="G162">
            <v>9</v>
          </cell>
          <cell r="H162" t="str">
            <v>N</v>
          </cell>
          <cell r="I162">
            <v>0</v>
          </cell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Q162">
            <v>0</v>
          </cell>
          <cell r="V162">
            <v>0</v>
          </cell>
        </row>
        <row r="163">
          <cell r="B163" t="str">
            <v>9019585 0020</v>
          </cell>
          <cell r="C163" t="str">
            <v>IN</v>
          </cell>
          <cell r="D163" t="str">
            <v>9019585 0020</v>
          </cell>
          <cell r="E163">
            <v>37865</v>
          </cell>
          <cell r="F163">
            <v>2003</v>
          </cell>
          <cell r="G163">
            <v>9</v>
          </cell>
          <cell r="H163" t="str">
            <v>N</v>
          </cell>
          <cell r="I163">
            <v>0</v>
          </cell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Q163">
            <v>0</v>
          </cell>
          <cell r="V163">
            <v>0</v>
          </cell>
        </row>
        <row r="164">
          <cell r="B164" t="str">
            <v>9019585 0030</v>
          </cell>
          <cell r="C164" t="str">
            <v>IN</v>
          </cell>
          <cell r="D164" t="str">
            <v>9019585 0030</v>
          </cell>
          <cell r="E164">
            <v>37865</v>
          </cell>
          <cell r="F164">
            <v>2003</v>
          </cell>
          <cell r="G164">
            <v>9</v>
          </cell>
          <cell r="H164" t="str">
            <v>N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V164">
            <v>0</v>
          </cell>
        </row>
        <row r="165">
          <cell r="B165" t="str">
            <v>9019585 0040</v>
          </cell>
          <cell r="C165" t="str">
            <v>IN</v>
          </cell>
          <cell r="D165" t="str">
            <v>9019585 0040</v>
          </cell>
          <cell r="E165">
            <v>37865</v>
          </cell>
          <cell r="F165">
            <v>2003</v>
          </cell>
          <cell r="G165">
            <v>9</v>
          </cell>
          <cell r="H165" t="str">
            <v>N</v>
          </cell>
          <cell r="I165">
            <v>0</v>
          </cell>
          <cell r="K165">
            <v>0</v>
          </cell>
          <cell r="L165">
            <v>19244.400000000001</v>
          </cell>
          <cell r="N165">
            <v>19244.400000000001</v>
          </cell>
          <cell r="O165">
            <v>19244.400000000001</v>
          </cell>
          <cell r="Q165">
            <v>19244.400000000001</v>
          </cell>
          <cell r="R165">
            <v>16988.599999999999</v>
          </cell>
          <cell r="V165">
            <v>19244.400000000001</v>
          </cell>
        </row>
        <row r="166">
          <cell r="B166" t="str">
            <v>9019585 0050</v>
          </cell>
          <cell r="C166" t="str">
            <v>IN</v>
          </cell>
          <cell r="D166" t="str">
            <v>9019585 0050</v>
          </cell>
          <cell r="E166">
            <v>37865</v>
          </cell>
          <cell r="F166">
            <v>2003</v>
          </cell>
          <cell r="G166">
            <v>9</v>
          </cell>
          <cell r="H166" t="str">
            <v>N</v>
          </cell>
          <cell r="I166">
            <v>0</v>
          </cell>
          <cell r="K166">
            <v>0</v>
          </cell>
          <cell r="L166">
            <v>56588.5</v>
          </cell>
          <cell r="N166">
            <v>56588.5</v>
          </cell>
          <cell r="O166">
            <v>56588.5</v>
          </cell>
          <cell r="Q166">
            <v>56588.5</v>
          </cell>
          <cell r="R166">
            <v>49955.26</v>
          </cell>
          <cell r="V166">
            <v>56588.5</v>
          </cell>
        </row>
        <row r="167">
          <cell r="B167" t="str">
            <v>9019585 0060</v>
          </cell>
          <cell r="C167" t="str">
            <v>IN</v>
          </cell>
          <cell r="D167" t="str">
            <v>9019585 0060</v>
          </cell>
          <cell r="E167">
            <v>37865</v>
          </cell>
          <cell r="F167">
            <v>2003</v>
          </cell>
          <cell r="G167">
            <v>9</v>
          </cell>
          <cell r="H167" t="str">
            <v>N</v>
          </cell>
          <cell r="I167">
            <v>0</v>
          </cell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Q167">
            <v>0</v>
          </cell>
          <cell r="V167">
            <v>0</v>
          </cell>
        </row>
        <row r="168">
          <cell r="B168" t="str">
            <v>9019585 0070</v>
          </cell>
          <cell r="C168" t="str">
            <v>IN</v>
          </cell>
          <cell r="D168" t="str">
            <v>9019585 0070</v>
          </cell>
          <cell r="E168">
            <v>37865</v>
          </cell>
          <cell r="F168">
            <v>2003</v>
          </cell>
          <cell r="G168">
            <v>9</v>
          </cell>
          <cell r="H168" t="str">
            <v>N</v>
          </cell>
          <cell r="I168">
            <v>1684</v>
          </cell>
          <cell r="K168">
            <v>1684</v>
          </cell>
          <cell r="L168">
            <v>0</v>
          </cell>
          <cell r="N168">
            <v>0</v>
          </cell>
          <cell r="O168">
            <v>0</v>
          </cell>
          <cell r="Q168">
            <v>0</v>
          </cell>
          <cell r="V168">
            <v>0</v>
          </cell>
        </row>
        <row r="169">
          <cell r="B169" t="str">
            <v>9019585 0080</v>
          </cell>
          <cell r="C169" t="str">
            <v>AD</v>
          </cell>
          <cell r="D169" t="str">
            <v>9019585 0080</v>
          </cell>
          <cell r="E169">
            <v>37865</v>
          </cell>
          <cell r="F169">
            <v>2003</v>
          </cell>
          <cell r="G169">
            <v>9</v>
          </cell>
          <cell r="H169" t="str">
            <v>N</v>
          </cell>
          <cell r="I169">
            <v>0</v>
          </cell>
          <cell r="K169">
            <v>0</v>
          </cell>
          <cell r="L169">
            <v>912</v>
          </cell>
          <cell r="N169">
            <v>912</v>
          </cell>
          <cell r="O169">
            <v>912</v>
          </cell>
          <cell r="Q169">
            <v>912</v>
          </cell>
          <cell r="R169">
            <v>805.05</v>
          </cell>
          <cell r="V169">
            <v>912</v>
          </cell>
        </row>
        <row r="170">
          <cell r="B170" t="str">
            <v>9019585 0010</v>
          </cell>
          <cell r="C170" t="str">
            <v>IN</v>
          </cell>
          <cell r="D170" t="str">
            <v>9019585 0010</v>
          </cell>
          <cell r="E170">
            <v>37895</v>
          </cell>
          <cell r="F170">
            <v>2003</v>
          </cell>
          <cell r="G170">
            <v>10</v>
          </cell>
          <cell r="H170" t="str">
            <v>N</v>
          </cell>
          <cell r="I170">
            <v>0</v>
          </cell>
          <cell r="K170">
            <v>0</v>
          </cell>
          <cell r="L170">
            <v>14.5</v>
          </cell>
          <cell r="N170">
            <v>14.5</v>
          </cell>
          <cell r="O170">
            <v>14.5</v>
          </cell>
          <cell r="Q170">
            <v>14.5</v>
          </cell>
          <cell r="R170">
            <v>13.35</v>
          </cell>
          <cell r="V170">
            <v>14.5</v>
          </cell>
        </row>
        <row r="171">
          <cell r="B171" t="str">
            <v>9019585 0020</v>
          </cell>
          <cell r="C171" t="str">
            <v>IN</v>
          </cell>
          <cell r="D171" t="str">
            <v>9019585 0020</v>
          </cell>
          <cell r="E171">
            <v>37895</v>
          </cell>
          <cell r="F171">
            <v>2003</v>
          </cell>
          <cell r="G171">
            <v>10</v>
          </cell>
          <cell r="H171" t="str">
            <v>N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V171">
            <v>0</v>
          </cell>
        </row>
        <row r="172">
          <cell r="B172" t="str">
            <v>9019585 0030</v>
          </cell>
          <cell r="C172" t="str">
            <v>IN</v>
          </cell>
          <cell r="D172" t="str">
            <v>9019585 0030</v>
          </cell>
          <cell r="E172">
            <v>37895</v>
          </cell>
          <cell r="F172">
            <v>2003</v>
          </cell>
          <cell r="G172">
            <v>10</v>
          </cell>
          <cell r="H172" t="str">
            <v>N</v>
          </cell>
          <cell r="I172">
            <v>0</v>
          </cell>
          <cell r="K172">
            <v>0</v>
          </cell>
          <cell r="L172">
            <v>1087.3</v>
          </cell>
          <cell r="N172">
            <v>1087.3</v>
          </cell>
          <cell r="O172">
            <v>1087.3</v>
          </cell>
          <cell r="Q172">
            <v>1087.3</v>
          </cell>
          <cell r="R172">
            <v>1001.92</v>
          </cell>
          <cell r="V172">
            <v>1087.3</v>
          </cell>
        </row>
        <row r="173">
          <cell r="B173" t="str">
            <v>9019585 0040</v>
          </cell>
          <cell r="C173" t="str">
            <v>IN</v>
          </cell>
          <cell r="D173" t="str">
            <v>9019585 0040</v>
          </cell>
          <cell r="E173">
            <v>37895</v>
          </cell>
          <cell r="F173">
            <v>2003</v>
          </cell>
          <cell r="G173">
            <v>10</v>
          </cell>
          <cell r="H173" t="str">
            <v>N</v>
          </cell>
          <cell r="I173">
            <v>0</v>
          </cell>
          <cell r="K173">
            <v>0</v>
          </cell>
          <cell r="L173">
            <v>78200</v>
          </cell>
          <cell r="N173">
            <v>78200</v>
          </cell>
          <cell r="O173">
            <v>78200</v>
          </cell>
          <cell r="Q173">
            <v>78200</v>
          </cell>
          <cell r="R173">
            <v>72058.850000000006</v>
          </cell>
          <cell r="V173">
            <v>78200</v>
          </cell>
        </row>
        <row r="174">
          <cell r="B174" t="str">
            <v>9019585 0050</v>
          </cell>
          <cell r="C174" t="str">
            <v>IN</v>
          </cell>
          <cell r="D174" t="str">
            <v>9019585 0050</v>
          </cell>
          <cell r="E174">
            <v>37895</v>
          </cell>
          <cell r="F174">
            <v>2003</v>
          </cell>
          <cell r="G174">
            <v>10</v>
          </cell>
          <cell r="H174" t="str">
            <v>N</v>
          </cell>
          <cell r="I174">
            <v>0</v>
          </cell>
          <cell r="K174">
            <v>0</v>
          </cell>
          <cell r="L174">
            <v>63296.800000000003</v>
          </cell>
          <cell r="N174">
            <v>63296.800000000003</v>
          </cell>
          <cell r="O174">
            <v>63296.800000000003</v>
          </cell>
          <cell r="Q174">
            <v>63296.800000000003</v>
          </cell>
          <cell r="R174">
            <v>58326.01</v>
          </cell>
          <cell r="V174">
            <v>63296.800000000003</v>
          </cell>
        </row>
        <row r="175">
          <cell r="B175" t="str">
            <v>9019585 0060</v>
          </cell>
          <cell r="C175" t="str">
            <v>IN</v>
          </cell>
          <cell r="D175" t="str">
            <v>9019585 0060</v>
          </cell>
          <cell r="E175">
            <v>37895</v>
          </cell>
          <cell r="F175">
            <v>2003</v>
          </cell>
          <cell r="G175">
            <v>10</v>
          </cell>
          <cell r="H175" t="str">
            <v>N</v>
          </cell>
          <cell r="I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Q175">
            <v>0</v>
          </cell>
          <cell r="V175">
            <v>0</v>
          </cell>
        </row>
        <row r="176">
          <cell r="B176" t="str">
            <v>9019585 0070</v>
          </cell>
          <cell r="C176" t="str">
            <v>IN</v>
          </cell>
          <cell r="D176" t="str">
            <v>9019585 0070</v>
          </cell>
          <cell r="E176">
            <v>37895</v>
          </cell>
          <cell r="F176">
            <v>2003</v>
          </cell>
          <cell r="G176">
            <v>10</v>
          </cell>
          <cell r="H176" t="str">
            <v>N</v>
          </cell>
          <cell r="I176">
            <v>0</v>
          </cell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Q176">
            <v>0</v>
          </cell>
          <cell r="V176">
            <v>0</v>
          </cell>
        </row>
        <row r="177">
          <cell r="B177" t="str">
            <v>9019585 0080</v>
          </cell>
          <cell r="C177" t="str">
            <v>AD</v>
          </cell>
          <cell r="D177" t="str">
            <v>9019585 0080</v>
          </cell>
          <cell r="E177">
            <v>37895</v>
          </cell>
          <cell r="F177">
            <v>2003</v>
          </cell>
          <cell r="G177">
            <v>10</v>
          </cell>
          <cell r="H177" t="str">
            <v>N</v>
          </cell>
          <cell r="I177">
            <v>0</v>
          </cell>
          <cell r="K177">
            <v>0</v>
          </cell>
          <cell r="L177">
            <v>63.7</v>
          </cell>
          <cell r="N177">
            <v>63.7</v>
          </cell>
          <cell r="O177">
            <v>63.7</v>
          </cell>
          <cell r="Q177">
            <v>63.7</v>
          </cell>
          <cell r="R177">
            <v>58.69</v>
          </cell>
          <cell r="V177">
            <v>63.7</v>
          </cell>
        </row>
        <row r="178">
          <cell r="B178" t="str">
            <v>9019585 0010</v>
          </cell>
          <cell r="C178" t="str">
            <v>IN</v>
          </cell>
          <cell r="D178" t="str">
            <v>9019585 0010</v>
          </cell>
          <cell r="E178">
            <v>37926</v>
          </cell>
          <cell r="F178">
            <v>2003</v>
          </cell>
          <cell r="G178">
            <v>11</v>
          </cell>
          <cell r="H178" t="str">
            <v>N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V178">
            <v>0</v>
          </cell>
        </row>
        <row r="179">
          <cell r="B179" t="str">
            <v>9019585 0020</v>
          </cell>
          <cell r="C179" t="str">
            <v>IN</v>
          </cell>
          <cell r="D179" t="str">
            <v>9019585 0020</v>
          </cell>
          <cell r="E179">
            <v>37926</v>
          </cell>
          <cell r="F179">
            <v>2003</v>
          </cell>
          <cell r="G179">
            <v>11</v>
          </cell>
          <cell r="H179" t="str">
            <v>N</v>
          </cell>
          <cell r="I179">
            <v>0</v>
          </cell>
          <cell r="K179">
            <v>0</v>
          </cell>
          <cell r="L179">
            <v>0</v>
          </cell>
          <cell r="N179">
            <v>0</v>
          </cell>
          <cell r="O179">
            <v>0</v>
          </cell>
          <cell r="Q179">
            <v>0</v>
          </cell>
          <cell r="V179">
            <v>0</v>
          </cell>
        </row>
        <row r="180">
          <cell r="B180" t="str">
            <v>9019585 0030</v>
          </cell>
          <cell r="C180" t="str">
            <v>IN</v>
          </cell>
          <cell r="D180" t="str">
            <v>9019585 0030</v>
          </cell>
          <cell r="E180">
            <v>37926</v>
          </cell>
          <cell r="F180">
            <v>2003</v>
          </cell>
          <cell r="G180">
            <v>11</v>
          </cell>
          <cell r="H180" t="str">
            <v>N</v>
          </cell>
          <cell r="I180">
            <v>0</v>
          </cell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Q180">
            <v>0</v>
          </cell>
          <cell r="V180">
            <v>0</v>
          </cell>
        </row>
        <row r="181">
          <cell r="B181" t="str">
            <v>9019585 0040</v>
          </cell>
          <cell r="C181" t="str">
            <v>IN</v>
          </cell>
          <cell r="D181" t="str">
            <v>9019585 0040</v>
          </cell>
          <cell r="E181">
            <v>37926</v>
          </cell>
          <cell r="F181">
            <v>2003</v>
          </cell>
          <cell r="G181">
            <v>11</v>
          </cell>
          <cell r="H181" t="str">
            <v>N</v>
          </cell>
          <cell r="I181">
            <v>0</v>
          </cell>
          <cell r="K181">
            <v>0</v>
          </cell>
          <cell r="L181">
            <v>18277.2</v>
          </cell>
          <cell r="N181">
            <v>18277.2</v>
          </cell>
          <cell r="O181">
            <v>18277.2</v>
          </cell>
          <cell r="Q181">
            <v>18277.2</v>
          </cell>
          <cell r="R181">
            <v>17343.52</v>
          </cell>
          <cell r="V181">
            <v>18277.2</v>
          </cell>
        </row>
        <row r="182">
          <cell r="B182" t="str">
            <v>9019585 0050</v>
          </cell>
          <cell r="C182" t="str">
            <v>IN</v>
          </cell>
          <cell r="D182" t="str">
            <v>9019585 0050</v>
          </cell>
          <cell r="E182">
            <v>37926</v>
          </cell>
          <cell r="F182">
            <v>2003</v>
          </cell>
          <cell r="G182">
            <v>11</v>
          </cell>
          <cell r="H182" t="str">
            <v>N</v>
          </cell>
          <cell r="I182">
            <v>0</v>
          </cell>
          <cell r="K182">
            <v>0</v>
          </cell>
          <cell r="L182">
            <v>19547.3</v>
          </cell>
          <cell r="N182">
            <v>19547.3</v>
          </cell>
          <cell r="O182">
            <v>19547.3</v>
          </cell>
          <cell r="Q182">
            <v>19547.3</v>
          </cell>
          <cell r="R182">
            <v>18548.77</v>
          </cell>
          <cell r="V182">
            <v>19547.3</v>
          </cell>
        </row>
        <row r="183">
          <cell r="B183" t="str">
            <v>9019585 0060</v>
          </cell>
          <cell r="C183" t="str">
            <v>IN</v>
          </cell>
          <cell r="D183" t="str">
            <v>9019585 0060</v>
          </cell>
          <cell r="E183">
            <v>37926</v>
          </cell>
          <cell r="F183">
            <v>2003</v>
          </cell>
          <cell r="G183">
            <v>11</v>
          </cell>
          <cell r="H183" t="str">
            <v>N</v>
          </cell>
          <cell r="I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Q183">
            <v>0</v>
          </cell>
          <cell r="V183">
            <v>0</v>
          </cell>
        </row>
        <row r="184">
          <cell r="B184" t="str">
            <v>9019585 0070</v>
          </cell>
          <cell r="C184" t="str">
            <v>IN</v>
          </cell>
          <cell r="D184" t="str">
            <v>9019585 0070</v>
          </cell>
          <cell r="E184">
            <v>37926</v>
          </cell>
          <cell r="F184">
            <v>2003</v>
          </cell>
          <cell r="G184">
            <v>11</v>
          </cell>
          <cell r="H184" t="str">
            <v>N</v>
          </cell>
          <cell r="I184">
            <v>0</v>
          </cell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Q184">
            <v>0</v>
          </cell>
          <cell r="V184">
            <v>0</v>
          </cell>
        </row>
        <row r="185">
          <cell r="B185" t="str">
            <v>9019585 0080</v>
          </cell>
          <cell r="C185" t="str">
            <v>AD</v>
          </cell>
          <cell r="D185" t="str">
            <v>9019585 0080</v>
          </cell>
          <cell r="E185">
            <v>37926</v>
          </cell>
          <cell r="F185">
            <v>2003</v>
          </cell>
          <cell r="G185">
            <v>11</v>
          </cell>
          <cell r="H185" t="str">
            <v>N</v>
          </cell>
          <cell r="I185">
            <v>0</v>
          </cell>
          <cell r="K185">
            <v>0</v>
          </cell>
          <cell r="L185">
            <v>1718.4</v>
          </cell>
          <cell r="N185">
            <v>1718.4</v>
          </cell>
          <cell r="O185">
            <v>1718.4</v>
          </cell>
          <cell r="Q185">
            <v>1718.4</v>
          </cell>
          <cell r="R185">
            <v>1630.61</v>
          </cell>
          <cell r="V185">
            <v>1718.4</v>
          </cell>
        </row>
        <row r="186">
          <cell r="B186" t="str">
            <v>9019585 0010</v>
          </cell>
          <cell r="C186" t="str">
            <v>IN</v>
          </cell>
          <cell r="D186" t="str">
            <v>9019585 0010</v>
          </cell>
          <cell r="E186">
            <v>37956</v>
          </cell>
          <cell r="F186">
            <v>2003</v>
          </cell>
          <cell r="G186">
            <v>12</v>
          </cell>
          <cell r="H186" t="str">
            <v>N</v>
          </cell>
          <cell r="I186">
            <v>0</v>
          </cell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Q186">
            <v>0</v>
          </cell>
          <cell r="V186">
            <v>0</v>
          </cell>
        </row>
        <row r="187">
          <cell r="B187" t="str">
            <v>9019585 0020</v>
          </cell>
          <cell r="C187" t="str">
            <v>IN</v>
          </cell>
          <cell r="D187" t="str">
            <v>9019585 0020</v>
          </cell>
          <cell r="E187">
            <v>37956</v>
          </cell>
          <cell r="F187">
            <v>2003</v>
          </cell>
          <cell r="G187">
            <v>12</v>
          </cell>
          <cell r="H187" t="str">
            <v>N</v>
          </cell>
          <cell r="I187">
            <v>0</v>
          </cell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Q187">
            <v>0</v>
          </cell>
          <cell r="V187">
            <v>0</v>
          </cell>
        </row>
        <row r="188">
          <cell r="B188" t="str">
            <v>9019585 0030</v>
          </cell>
          <cell r="C188" t="str">
            <v>IN</v>
          </cell>
          <cell r="D188" t="str">
            <v>9019585 0030</v>
          </cell>
          <cell r="E188">
            <v>37956</v>
          </cell>
          <cell r="F188">
            <v>2003</v>
          </cell>
          <cell r="G188">
            <v>12</v>
          </cell>
          <cell r="H188" t="str">
            <v>N</v>
          </cell>
          <cell r="I188">
            <v>0</v>
          </cell>
          <cell r="K188">
            <v>0</v>
          </cell>
          <cell r="L188">
            <v>7223.6</v>
          </cell>
          <cell r="N188">
            <v>7223.6</v>
          </cell>
          <cell r="O188">
            <v>7223.6</v>
          </cell>
          <cell r="Q188">
            <v>7223.6</v>
          </cell>
          <cell r="R188">
            <v>7088.16</v>
          </cell>
          <cell r="V188">
            <v>7223.6</v>
          </cell>
        </row>
        <row r="189">
          <cell r="B189" t="str">
            <v>9019585 0040</v>
          </cell>
          <cell r="C189" t="str">
            <v>IN</v>
          </cell>
          <cell r="D189" t="str">
            <v>9019585 0040</v>
          </cell>
          <cell r="E189">
            <v>37956</v>
          </cell>
          <cell r="F189">
            <v>2003</v>
          </cell>
          <cell r="G189">
            <v>12</v>
          </cell>
          <cell r="H189" t="str">
            <v>N</v>
          </cell>
          <cell r="I189">
            <v>0</v>
          </cell>
          <cell r="K189">
            <v>0</v>
          </cell>
          <cell r="L189">
            <v>51010.7</v>
          </cell>
          <cell r="N189">
            <v>51010.7</v>
          </cell>
          <cell r="O189">
            <v>51010.7</v>
          </cell>
          <cell r="Q189">
            <v>51010.7</v>
          </cell>
          <cell r="R189">
            <v>50054.05</v>
          </cell>
          <cell r="V189">
            <v>51010.7</v>
          </cell>
        </row>
        <row r="190">
          <cell r="B190" t="str">
            <v>9019585 0050</v>
          </cell>
          <cell r="C190" t="str">
            <v>IN</v>
          </cell>
          <cell r="D190" t="str">
            <v>9019585 0050</v>
          </cell>
          <cell r="E190">
            <v>37956</v>
          </cell>
          <cell r="F190">
            <v>2003</v>
          </cell>
          <cell r="G190">
            <v>12</v>
          </cell>
          <cell r="H190" t="str">
            <v>N</v>
          </cell>
          <cell r="I190">
            <v>0</v>
          </cell>
          <cell r="K190">
            <v>0</v>
          </cell>
          <cell r="L190">
            <v>36913.4</v>
          </cell>
          <cell r="N190">
            <v>36913.4</v>
          </cell>
          <cell r="O190">
            <v>36913.4</v>
          </cell>
          <cell r="Q190">
            <v>36913.4</v>
          </cell>
          <cell r="R190">
            <v>36221.11</v>
          </cell>
          <cell r="V190">
            <v>36913.4</v>
          </cell>
        </row>
        <row r="191">
          <cell r="B191" t="str">
            <v>9019585 0060</v>
          </cell>
          <cell r="C191" t="str">
            <v>IN</v>
          </cell>
          <cell r="D191" t="str">
            <v>9019585 0060</v>
          </cell>
          <cell r="E191">
            <v>37956</v>
          </cell>
          <cell r="F191">
            <v>2003</v>
          </cell>
          <cell r="G191">
            <v>12</v>
          </cell>
          <cell r="H191" t="str">
            <v>N</v>
          </cell>
          <cell r="I191">
            <v>0</v>
          </cell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Q191">
            <v>0</v>
          </cell>
          <cell r="V191">
            <v>0</v>
          </cell>
        </row>
        <row r="192">
          <cell r="B192" t="str">
            <v>9019585 0070</v>
          </cell>
          <cell r="C192" t="str">
            <v>IN</v>
          </cell>
          <cell r="D192" t="str">
            <v>9019585 0070</v>
          </cell>
          <cell r="E192">
            <v>37956</v>
          </cell>
          <cell r="F192">
            <v>2003</v>
          </cell>
          <cell r="G192">
            <v>12</v>
          </cell>
          <cell r="H192" t="str">
            <v>N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V192">
            <v>0</v>
          </cell>
        </row>
        <row r="193">
          <cell r="B193" t="str">
            <v>9019585 0080</v>
          </cell>
          <cell r="C193" t="str">
            <v>AD</v>
          </cell>
          <cell r="D193" t="str">
            <v>9019585 0080</v>
          </cell>
          <cell r="E193">
            <v>37956</v>
          </cell>
          <cell r="F193">
            <v>2003</v>
          </cell>
          <cell r="G193">
            <v>12</v>
          </cell>
          <cell r="H193" t="str">
            <v>N</v>
          </cell>
          <cell r="I193">
            <v>0</v>
          </cell>
          <cell r="K193">
            <v>0</v>
          </cell>
          <cell r="L193">
            <v>861</v>
          </cell>
          <cell r="N193">
            <v>861</v>
          </cell>
          <cell r="O193">
            <v>861</v>
          </cell>
          <cell r="Q193">
            <v>861</v>
          </cell>
          <cell r="R193">
            <v>844.9</v>
          </cell>
          <cell r="V193">
            <v>861</v>
          </cell>
        </row>
        <row r="194">
          <cell r="B194" t="str">
            <v>9019585 0010</v>
          </cell>
          <cell r="C194" t="str">
            <v>IN</v>
          </cell>
          <cell r="D194" t="str">
            <v>9019585 0010</v>
          </cell>
          <cell r="E194">
            <v>37987</v>
          </cell>
          <cell r="F194">
            <v>2004</v>
          </cell>
          <cell r="G194">
            <v>1</v>
          </cell>
          <cell r="H194" t="str">
            <v>N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V194">
            <v>0</v>
          </cell>
        </row>
        <row r="195">
          <cell r="B195" t="str">
            <v>9019585 0020</v>
          </cell>
          <cell r="C195" t="str">
            <v>IN</v>
          </cell>
          <cell r="D195" t="str">
            <v>9019585 0020</v>
          </cell>
          <cell r="E195">
            <v>37987</v>
          </cell>
          <cell r="F195">
            <v>2004</v>
          </cell>
          <cell r="G195">
            <v>1</v>
          </cell>
          <cell r="H195" t="str">
            <v>N</v>
          </cell>
          <cell r="I195">
            <v>0</v>
          </cell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Q195">
            <v>0</v>
          </cell>
          <cell r="V195">
            <v>0</v>
          </cell>
        </row>
        <row r="196">
          <cell r="B196" t="str">
            <v>9019585 0030</v>
          </cell>
          <cell r="C196" t="str">
            <v>IN</v>
          </cell>
          <cell r="D196" t="str">
            <v>9019585 0030</v>
          </cell>
          <cell r="E196">
            <v>37987</v>
          </cell>
          <cell r="F196">
            <v>2004</v>
          </cell>
          <cell r="G196">
            <v>1</v>
          </cell>
          <cell r="H196" t="str">
            <v>N</v>
          </cell>
          <cell r="I196">
            <v>0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Q196">
            <v>0</v>
          </cell>
          <cell r="V196">
            <v>0</v>
          </cell>
        </row>
        <row r="197">
          <cell r="B197" t="str">
            <v>9019585 0040</v>
          </cell>
          <cell r="C197" t="str">
            <v>IN</v>
          </cell>
          <cell r="D197" t="str">
            <v>9019585 0040</v>
          </cell>
          <cell r="E197">
            <v>37987</v>
          </cell>
          <cell r="F197">
            <v>2004</v>
          </cell>
          <cell r="G197">
            <v>1</v>
          </cell>
          <cell r="H197" t="str">
            <v>N</v>
          </cell>
          <cell r="I197">
            <v>-5850.1</v>
          </cell>
          <cell r="K197">
            <v>-5850.1</v>
          </cell>
          <cell r="L197">
            <v>-5850.1</v>
          </cell>
          <cell r="N197">
            <v>-5850.1</v>
          </cell>
          <cell r="O197">
            <v>-5850.1</v>
          </cell>
          <cell r="Q197">
            <v>-5850.1</v>
          </cell>
          <cell r="R197">
            <v>-6022.15</v>
          </cell>
          <cell r="V197">
            <v>-5850.1</v>
          </cell>
        </row>
        <row r="198">
          <cell r="B198" t="str">
            <v>9019585 0050</v>
          </cell>
          <cell r="C198" t="str">
            <v>IN</v>
          </cell>
          <cell r="D198" t="str">
            <v>9019585 0050</v>
          </cell>
          <cell r="E198">
            <v>37987</v>
          </cell>
          <cell r="F198">
            <v>2004</v>
          </cell>
          <cell r="G198">
            <v>1</v>
          </cell>
          <cell r="H198" t="str">
            <v>N</v>
          </cell>
          <cell r="I198">
            <v>2386.6999999999998</v>
          </cell>
          <cell r="K198">
            <v>2386.6999999999998</v>
          </cell>
          <cell r="L198">
            <v>2386.6999999999998</v>
          </cell>
          <cell r="N198">
            <v>2386.6999999999998</v>
          </cell>
          <cell r="O198">
            <v>2386.6999999999998</v>
          </cell>
          <cell r="Q198">
            <v>2386.6999999999998</v>
          </cell>
          <cell r="R198">
            <v>2456.92</v>
          </cell>
          <cell r="V198">
            <v>2386.6999999999998</v>
          </cell>
        </row>
        <row r="199">
          <cell r="B199" t="str">
            <v>9019585 0060</v>
          </cell>
          <cell r="C199" t="str">
            <v>IN</v>
          </cell>
          <cell r="D199" t="str">
            <v>9019585 0060</v>
          </cell>
          <cell r="E199">
            <v>37987</v>
          </cell>
          <cell r="F199">
            <v>2004</v>
          </cell>
          <cell r="G199">
            <v>1</v>
          </cell>
          <cell r="H199" t="str">
            <v>N</v>
          </cell>
          <cell r="I199">
            <v>0</v>
          </cell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Q199">
            <v>0</v>
          </cell>
          <cell r="V199">
            <v>0</v>
          </cell>
        </row>
        <row r="200">
          <cell r="B200" t="str">
            <v>9019585 0070</v>
          </cell>
          <cell r="C200" t="str">
            <v>IN</v>
          </cell>
          <cell r="D200" t="str">
            <v>9019585 0070</v>
          </cell>
          <cell r="E200">
            <v>37987</v>
          </cell>
          <cell r="F200">
            <v>2004</v>
          </cell>
          <cell r="G200">
            <v>1</v>
          </cell>
          <cell r="H200" t="str">
            <v>N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V200">
            <v>0</v>
          </cell>
        </row>
        <row r="201">
          <cell r="B201" t="str">
            <v>9019585 0080</v>
          </cell>
          <cell r="C201" t="str">
            <v>AD</v>
          </cell>
          <cell r="D201" t="str">
            <v>9019585 0080</v>
          </cell>
          <cell r="E201">
            <v>37987</v>
          </cell>
          <cell r="F201">
            <v>2004</v>
          </cell>
          <cell r="G201">
            <v>1</v>
          </cell>
          <cell r="H201" t="str">
            <v>N</v>
          </cell>
          <cell r="I201">
            <v>0</v>
          </cell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Q201">
            <v>0</v>
          </cell>
          <cell r="V201">
            <v>0</v>
          </cell>
        </row>
        <row r="202">
          <cell r="B202" t="str">
            <v>9019585 0010</v>
          </cell>
          <cell r="C202" t="str">
            <v>IN</v>
          </cell>
          <cell r="D202" t="str">
            <v>9019585 0010</v>
          </cell>
          <cell r="E202">
            <v>38018</v>
          </cell>
          <cell r="F202">
            <v>2004</v>
          </cell>
          <cell r="G202">
            <v>2</v>
          </cell>
          <cell r="H202" t="str">
            <v>N</v>
          </cell>
          <cell r="I202">
            <v>0</v>
          </cell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Q202">
            <v>0</v>
          </cell>
          <cell r="V202">
            <v>0</v>
          </cell>
        </row>
        <row r="203">
          <cell r="B203" t="str">
            <v>9019585 0020</v>
          </cell>
          <cell r="C203" t="str">
            <v>IN</v>
          </cell>
          <cell r="D203" t="str">
            <v>9019585 0020</v>
          </cell>
          <cell r="E203">
            <v>38018</v>
          </cell>
          <cell r="F203">
            <v>2004</v>
          </cell>
          <cell r="G203">
            <v>2</v>
          </cell>
          <cell r="H203" t="str">
            <v>N</v>
          </cell>
          <cell r="I203">
            <v>0</v>
          </cell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Q203">
            <v>0</v>
          </cell>
          <cell r="V203">
            <v>0</v>
          </cell>
        </row>
        <row r="204">
          <cell r="B204" t="str">
            <v>9019585 0030</v>
          </cell>
          <cell r="C204" t="str">
            <v>IN</v>
          </cell>
          <cell r="D204" t="str">
            <v>9019585 0030</v>
          </cell>
          <cell r="E204">
            <v>38018</v>
          </cell>
          <cell r="F204">
            <v>2004</v>
          </cell>
          <cell r="G204">
            <v>2</v>
          </cell>
          <cell r="H204" t="str">
            <v>N</v>
          </cell>
          <cell r="I204">
            <v>0</v>
          </cell>
          <cell r="K204">
            <v>0</v>
          </cell>
          <cell r="L204">
            <v>0</v>
          </cell>
          <cell r="N204">
            <v>0</v>
          </cell>
          <cell r="O204">
            <v>0</v>
          </cell>
          <cell r="Q204">
            <v>0</v>
          </cell>
          <cell r="V204">
            <v>0</v>
          </cell>
        </row>
        <row r="205">
          <cell r="B205" t="str">
            <v>9019585 0040</v>
          </cell>
          <cell r="C205" t="str">
            <v>IN</v>
          </cell>
          <cell r="D205" t="str">
            <v>9019585 0040</v>
          </cell>
          <cell r="E205">
            <v>38018</v>
          </cell>
          <cell r="F205">
            <v>2004</v>
          </cell>
          <cell r="G205">
            <v>2</v>
          </cell>
          <cell r="H205" t="str">
            <v>N</v>
          </cell>
          <cell r="I205">
            <v>7668.7</v>
          </cell>
          <cell r="K205">
            <v>7668.7</v>
          </cell>
          <cell r="L205">
            <v>7298.3</v>
          </cell>
          <cell r="N205">
            <v>7298.3</v>
          </cell>
          <cell r="O205">
            <v>7298.3</v>
          </cell>
          <cell r="Q205">
            <v>7298.3</v>
          </cell>
          <cell r="R205">
            <v>7745.38</v>
          </cell>
          <cell r="V205">
            <v>7298.3</v>
          </cell>
        </row>
        <row r="206">
          <cell r="B206" t="str">
            <v>9019585 0050</v>
          </cell>
          <cell r="C206" t="str">
            <v>IN</v>
          </cell>
          <cell r="D206" t="str">
            <v>9019585 0050</v>
          </cell>
          <cell r="E206">
            <v>38018</v>
          </cell>
          <cell r="F206">
            <v>2004</v>
          </cell>
          <cell r="G206">
            <v>2</v>
          </cell>
          <cell r="H206" t="str">
            <v>N</v>
          </cell>
          <cell r="I206">
            <v>0</v>
          </cell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Q206">
            <v>0</v>
          </cell>
          <cell r="V206">
            <v>0</v>
          </cell>
        </row>
        <row r="207">
          <cell r="B207" t="str">
            <v>9019585 0060</v>
          </cell>
          <cell r="C207" t="str">
            <v>IN</v>
          </cell>
          <cell r="D207" t="str">
            <v>9019585 0060</v>
          </cell>
          <cell r="E207">
            <v>38018</v>
          </cell>
          <cell r="F207">
            <v>2004</v>
          </cell>
          <cell r="G207">
            <v>2</v>
          </cell>
          <cell r="H207" t="str">
            <v>N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V207">
            <v>0</v>
          </cell>
        </row>
        <row r="208">
          <cell r="B208" t="str">
            <v>9019585 0070</v>
          </cell>
          <cell r="C208" t="str">
            <v>IN</v>
          </cell>
          <cell r="D208" t="str">
            <v>9019585 0070</v>
          </cell>
          <cell r="E208">
            <v>38018</v>
          </cell>
          <cell r="F208">
            <v>2004</v>
          </cell>
          <cell r="G208">
            <v>2</v>
          </cell>
          <cell r="H208" t="str">
            <v>N</v>
          </cell>
          <cell r="I208">
            <v>0</v>
          </cell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Q208">
            <v>0</v>
          </cell>
          <cell r="V208">
            <v>0</v>
          </cell>
        </row>
        <row r="209">
          <cell r="B209" t="str">
            <v>9019585 0080</v>
          </cell>
          <cell r="C209" t="str">
            <v>AD</v>
          </cell>
          <cell r="D209" t="str">
            <v>9019585 0080</v>
          </cell>
          <cell r="E209">
            <v>38018</v>
          </cell>
          <cell r="F209">
            <v>2004</v>
          </cell>
          <cell r="G209">
            <v>2</v>
          </cell>
          <cell r="H209" t="str">
            <v>N</v>
          </cell>
          <cell r="I209">
            <v>-10</v>
          </cell>
          <cell r="K209">
            <v>-10</v>
          </cell>
          <cell r="L209">
            <v>-9.5</v>
          </cell>
          <cell r="N209">
            <v>-9.5</v>
          </cell>
          <cell r="O209">
            <v>-9.5</v>
          </cell>
          <cell r="Q209">
            <v>-9.5</v>
          </cell>
          <cell r="R209">
            <v>-10.119999999999999</v>
          </cell>
          <cell r="V209">
            <v>-9.5</v>
          </cell>
        </row>
        <row r="210">
          <cell r="B210" t="str">
            <v>9019585 0010</v>
          </cell>
          <cell r="C210" t="str">
            <v>IN</v>
          </cell>
          <cell r="D210" t="str">
            <v>9019585 0010</v>
          </cell>
          <cell r="E210">
            <v>38047</v>
          </cell>
          <cell r="F210">
            <v>2004</v>
          </cell>
          <cell r="G210">
            <v>3</v>
          </cell>
          <cell r="H210" t="str">
            <v>N</v>
          </cell>
          <cell r="I210">
            <v>0</v>
          </cell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Q210">
            <v>0</v>
          </cell>
          <cell r="V210">
            <v>0</v>
          </cell>
        </row>
        <row r="211">
          <cell r="B211" t="str">
            <v>9019585 0020</v>
          </cell>
          <cell r="C211" t="str">
            <v>IN</v>
          </cell>
          <cell r="D211" t="str">
            <v>9019585 0020</v>
          </cell>
          <cell r="E211">
            <v>38047</v>
          </cell>
          <cell r="F211">
            <v>2004</v>
          </cell>
          <cell r="G211">
            <v>3</v>
          </cell>
          <cell r="H211" t="str">
            <v>N</v>
          </cell>
          <cell r="I211">
            <v>0</v>
          </cell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Q211">
            <v>0</v>
          </cell>
          <cell r="V211">
            <v>0</v>
          </cell>
        </row>
        <row r="212">
          <cell r="B212" t="str">
            <v>9019585 0030</v>
          </cell>
          <cell r="C212" t="str">
            <v>IN</v>
          </cell>
          <cell r="D212" t="str">
            <v>9019585 0030</v>
          </cell>
          <cell r="E212">
            <v>38047</v>
          </cell>
          <cell r="F212">
            <v>2004</v>
          </cell>
          <cell r="G212">
            <v>3</v>
          </cell>
          <cell r="H212" t="str">
            <v>N</v>
          </cell>
          <cell r="I212">
            <v>0</v>
          </cell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Q212">
            <v>0</v>
          </cell>
          <cell r="V212">
            <v>0</v>
          </cell>
        </row>
        <row r="213">
          <cell r="B213" t="str">
            <v>9019585 0040</v>
          </cell>
          <cell r="C213" t="str">
            <v>IN</v>
          </cell>
          <cell r="D213" t="str">
            <v>9019585 0040</v>
          </cell>
          <cell r="E213">
            <v>38047</v>
          </cell>
          <cell r="F213">
            <v>2004</v>
          </cell>
          <cell r="G213">
            <v>3</v>
          </cell>
          <cell r="H213" t="str">
            <v>N</v>
          </cell>
          <cell r="I213">
            <v>100000</v>
          </cell>
          <cell r="K213">
            <v>100000</v>
          </cell>
          <cell r="L213">
            <v>0</v>
          </cell>
          <cell r="N213">
            <v>0</v>
          </cell>
          <cell r="O213">
            <v>0</v>
          </cell>
          <cell r="Q213">
            <v>0</v>
          </cell>
          <cell r="V213">
            <v>0</v>
          </cell>
        </row>
        <row r="214">
          <cell r="B214" t="str">
            <v>9019585 0050</v>
          </cell>
          <cell r="C214" t="str">
            <v>IN</v>
          </cell>
          <cell r="D214" t="str">
            <v>9019585 0050</v>
          </cell>
          <cell r="E214">
            <v>38047</v>
          </cell>
          <cell r="F214">
            <v>2004</v>
          </cell>
          <cell r="G214">
            <v>3</v>
          </cell>
          <cell r="H214" t="str">
            <v>N</v>
          </cell>
          <cell r="I214">
            <v>21330.03899042054</v>
          </cell>
          <cell r="K214">
            <v>21330.03899042054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V214">
            <v>0</v>
          </cell>
        </row>
        <row r="215">
          <cell r="B215" t="str">
            <v>9019585 0060</v>
          </cell>
          <cell r="C215" t="str">
            <v>IN</v>
          </cell>
          <cell r="D215" t="str">
            <v>9019585 0060</v>
          </cell>
          <cell r="E215">
            <v>38047</v>
          </cell>
          <cell r="F215">
            <v>2004</v>
          </cell>
          <cell r="G215">
            <v>3</v>
          </cell>
          <cell r="H215" t="str">
            <v>N</v>
          </cell>
          <cell r="I215">
            <v>0</v>
          </cell>
          <cell r="K215">
            <v>0</v>
          </cell>
          <cell r="L215">
            <v>0</v>
          </cell>
          <cell r="N215">
            <v>0</v>
          </cell>
          <cell r="O215">
            <v>0</v>
          </cell>
          <cell r="Q215">
            <v>0</v>
          </cell>
          <cell r="V215">
            <v>0</v>
          </cell>
        </row>
        <row r="216">
          <cell r="B216" t="str">
            <v>9019585 0070</v>
          </cell>
          <cell r="C216" t="str">
            <v>IN</v>
          </cell>
          <cell r="D216" t="str">
            <v>9019585 0070</v>
          </cell>
          <cell r="E216">
            <v>38047</v>
          </cell>
          <cell r="F216">
            <v>2004</v>
          </cell>
          <cell r="G216">
            <v>3</v>
          </cell>
          <cell r="H216" t="str">
            <v>N</v>
          </cell>
          <cell r="I216">
            <v>0</v>
          </cell>
          <cell r="K216">
            <v>0</v>
          </cell>
          <cell r="L216">
            <v>0</v>
          </cell>
          <cell r="N216">
            <v>0</v>
          </cell>
          <cell r="O216">
            <v>0</v>
          </cell>
          <cell r="Q216">
            <v>0</v>
          </cell>
          <cell r="V216">
            <v>0</v>
          </cell>
        </row>
        <row r="217">
          <cell r="B217" t="str">
            <v>9019585 0080</v>
          </cell>
          <cell r="C217" t="str">
            <v>AD</v>
          </cell>
          <cell r="D217" t="str">
            <v>9019585 0080</v>
          </cell>
          <cell r="E217">
            <v>38047</v>
          </cell>
          <cell r="F217">
            <v>2004</v>
          </cell>
          <cell r="G217">
            <v>3</v>
          </cell>
          <cell r="H217" t="str">
            <v>N</v>
          </cell>
          <cell r="I217">
            <v>800</v>
          </cell>
          <cell r="K217">
            <v>800</v>
          </cell>
          <cell r="L217">
            <v>31</v>
          </cell>
          <cell r="N217">
            <v>31</v>
          </cell>
          <cell r="O217">
            <v>31</v>
          </cell>
          <cell r="Q217">
            <v>31</v>
          </cell>
          <cell r="R217">
            <v>31.77</v>
          </cell>
          <cell r="V217">
            <v>31</v>
          </cell>
        </row>
        <row r="218">
          <cell r="B218" t="str">
            <v>9019585 0010</v>
          </cell>
          <cell r="C218" t="str">
            <v>IN</v>
          </cell>
          <cell r="D218" t="str">
            <v>9019585 0010</v>
          </cell>
          <cell r="E218">
            <v>38078</v>
          </cell>
          <cell r="F218">
            <v>2004</v>
          </cell>
          <cell r="G218">
            <v>4</v>
          </cell>
          <cell r="H218" t="str">
            <v>N</v>
          </cell>
          <cell r="I218">
            <v>0</v>
          </cell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Q218">
            <v>0</v>
          </cell>
          <cell r="V218">
            <v>0</v>
          </cell>
        </row>
        <row r="219">
          <cell r="B219" t="str">
            <v>9019585 0020</v>
          </cell>
          <cell r="C219" t="str">
            <v>IN</v>
          </cell>
          <cell r="D219" t="str">
            <v>9019585 0020</v>
          </cell>
          <cell r="E219">
            <v>38078</v>
          </cell>
          <cell r="F219">
            <v>2004</v>
          </cell>
          <cell r="G219">
            <v>4</v>
          </cell>
          <cell r="H219" t="str">
            <v>N</v>
          </cell>
          <cell r="I219">
            <v>0</v>
          </cell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Q219">
            <v>0</v>
          </cell>
          <cell r="V219">
            <v>0</v>
          </cell>
        </row>
        <row r="220">
          <cell r="B220" t="str">
            <v>9019585 0030</v>
          </cell>
          <cell r="C220" t="str">
            <v>IN</v>
          </cell>
          <cell r="D220" t="str">
            <v>9019585 0030</v>
          </cell>
          <cell r="E220">
            <v>38078</v>
          </cell>
          <cell r="F220">
            <v>2004</v>
          </cell>
          <cell r="G220">
            <v>4</v>
          </cell>
          <cell r="H220" t="str">
            <v>N</v>
          </cell>
          <cell r="I220">
            <v>0</v>
          </cell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Q220">
            <v>0</v>
          </cell>
          <cell r="V220">
            <v>0</v>
          </cell>
        </row>
        <row r="221">
          <cell r="B221" t="str">
            <v>9019585 0040</v>
          </cell>
          <cell r="C221" t="str">
            <v>IN</v>
          </cell>
          <cell r="D221" t="str">
            <v>9019585 0040</v>
          </cell>
          <cell r="E221">
            <v>38078</v>
          </cell>
          <cell r="F221">
            <v>2004</v>
          </cell>
          <cell r="G221">
            <v>4</v>
          </cell>
          <cell r="H221" t="str">
            <v>N</v>
          </cell>
          <cell r="I221">
            <v>92000</v>
          </cell>
          <cell r="K221">
            <v>92000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27.9</v>
          </cell>
          <cell r="V221">
            <v>0</v>
          </cell>
        </row>
        <row r="222">
          <cell r="B222" t="str">
            <v>9019585 0050</v>
          </cell>
          <cell r="C222" t="str">
            <v>IN</v>
          </cell>
          <cell r="D222" t="str">
            <v>9019585 0050</v>
          </cell>
          <cell r="E222">
            <v>38078</v>
          </cell>
          <cell r="F222">
            <v>2004</v>
          </cell>
          <cell r="G222">
            <v>4</v>
          </cell>
          <cell r="H222" t="str">
            <v>N</v>
          </cell>
          <cell r="I222">
            <v>10665.03899042054</v>
          </cell>
          <cell r="K222">
            <v>10665.03899042054</v>
          </cell>
          <cell r="L222">
            <v>0</v>
          </cell>
          <cell r="N222">
            <v>0</v>
          </cell>
          <cell r="O222">
            <v>0</v>
          </cell>
          <cell r="Q222">
            <v>0</v>
          </cell>
          <cell r="V222">
            <v>0</v>
          </cell>
        </row>
        <row r="223">
          <cell r="B223" t="str">
            <v>9019585 0060</v>
          </cell>
          <cell r="C223" t="str">
            <v>IN</v>
          </cell>
          <cell r="D223" t="str">
            <v>9019585 0060</v>
          </cell>
          <cell r="E223">
            <v>38078</v>
          </cell>
          <cell r="F223">
            <v>2004</v>
          </cell>
          <cell r="G223">
            <v>4</v>
          </cell>
          <cell r="H223" t="str">
            <v>N</v>
          </cell>
          <cell r="I223">
            <v>0</v>
          </cell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Q223">
            <v>0</v>
          </cell>
          <cell r="V223">
            <v>0</v>
          </cell>
        </row>
        <row r="224">
          <cell r="B224" t="str">
            <v>9019585 0070</v>
          </cell>
          <cell r="C224" t="str">
            <v>IN</v>
          </cell>
          <cell r="D224" t="str">
            <v>9019585 0070</v>
          </cell>
          <cell r="E224">
            <v>38078</v>
          </cell>
          <cell r="F224">
            <v>2004</v>
          </cell>
          <cell r="G224">
            <v>4</v>
          </cell>
          <cell r="H224" t="str">
            <v>N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V224">
            <v>0</v>
          </cell>
        </row>
        <row r="225">
          <cell r="B225" t="str">
            <v>9019585 0080</v>
          </cell>
          <cell r="C225" t="str">
            <v>AD</v>
          </cell>
          <cell r="D225" t="str">
            <v>9019585 0080</v>
          </cell>
          <cell r="E225">
            <v>38078</v>
          </cell>
          <cell r="F225">
            <v>2004</v>
          </cell>
          <cell r="G225">
            <v>4</v>
          </cell>
          <cell r="H225" t="str">
            <v>N</v>
          </cell>
          <cell r="I225">
            <v>800</v>
          </cell>
          <cell r="K225">
            <v>800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V225">
            <v>0</v>
          </cell>
        </row>
        <row r="226">
          <cell r="B226" t="str">
            <v>9019585 0010</v>
          </cell>
          <cell r="C226" t="str">
            <v>IN</v>
          </cell>
          <cell r="D226" t="str">
            <v>9019585 0010</v>
          </cell>
          <cell r="E226">
            <v>38108</v>
          </cell>
          <cell r="F226">
            <v>2004</v>
          </cell>
          <cell r="G226">
            <v>5</v>
          </cell>
          <cell r="H226" t="str">
            <v>N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V226">
            <v>0</v>
          </cell>
        </row>
        <row r="227">
          <cell r="B227" t="str">
            <v>9019585 0020</v>
          </cell>
          <cell r="C227" t="str">
            <v>IN</v>
          </cell>
          <cell r="D227" t="str">
            <v>9019585 0020</v>
          </cell>
          <cell r="E227">
            <v>38108</v>
          </cell>
          <cell r="F227">
            <v>2004</v>
          </cell>
          <cell r="G227">
            <v>5</v>
          </cell>
          <cell r="H227" t="str">
            <v>N</v>
          </cell>
          <cell r="I227">
            <v>0</v>
          </cell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Q227">
            <v>0</v>
          </cell>
          <cell r="V227">
            <v>0</v>
          </cell>
        </row>
        <row r="228">
          <cell r="B228" t="str">
            <v>9019585 0030</v>
          </cell>
          <cell r="C228" t="str">
            <v>IN</v>
          </cell>
          <cell r="D228" t="str">
            <v>9019585 0030</v>
          </cell>
          <cell r="E228">
            <v>38108</v>
          </cell>
          <cell r="F228">
            <v>2004</v>
          </cell>
          <cell r="G228">
            <v>5</v>
          </cell>
          <cell r="H228" t="str">
            <v>N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V228">
            <v>0</v>
          </cell>
        </row>
        <row r="229">
          <cell r="B229" t="str">
            <v>9019585 0040</v>
          </cell>
          <cell r="C229" t="str">
            <v>IN</v>
          </cell>
          <cell r="D229" t="str">
            <v>9019585 0040</v>
          </cell>
          <cell r="E229">
            <v>38108</v>
          </cell>
          <cell r="F229">
            <v>2004</v>
          </cell>
          <cell r="G229">
            <v>5</v>
          </cell>
          <cell r="H229" t="str">
            <v>N</v>
          </cell>
          <cell r="I229">
            <v>0</v>
          </cell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Q229">
            <v>0</v>
          </cell>
          <cell r="V229">
            <v>0</v>
          </cell>
        </row>
        <row r="230">
          <cell r="B230" t="str">
            <v>9019585 0050</v>
          </cell>
          <cell r="C230" t="str">
            <v>IN</v>
          </cell>
          <cell r="D230" t="str">
            <v>9019585 0050</v>
          </cell>
          <cell r="E230">
            <v>38108</v>
          </cell>
          <cell r="F230">
            <v>2004</v>
          </cell>
          <cell r="G230">
            <v>5</v>
          </cell>
          <cell r="H230" t="str">
            <v>N</v>
          </cell>
          <cell r="I230">
            <v>10665.03899042054</v>
          </cell>
          <cell r="K230">
            <v>10665.03899042054</v>
          </cell>
          <cell r="L230">
            <v>77000.3</v>
          </cell>
          <cell r="N230">
            <v>77000.3</v>
          </cell>
          <cell r="O230">
            <v>77000.3</v>
          </cell>
          <cell r="Q230">
            <v>77000.3</v>
          </cell>
          <cell r="V230">
            <v>77000.3</v>
          </cell>
        </row>
        <row r="231">
          <cell r="B231" t="str">
            <v>9019585 0060</v>
          </cell>
          <cell r="C231" t="str">
            <v>IN</v>
          </cell>
          <cell r="D231" t="str">
            <v>9019585 0060</v>
          </cell>
          <cell r="E231">
            <v>38108</v>
          </cell>
          <cell r="F231">
            <v>2004</v>
          </cell>
          <cell r="G231">
            <v>5</v>
          </cell>
          <cell r="H231" t="str">
            <v>N</v>
          </cell>
          <cell r="I231">
            <v>0</v>
          </cell>
          <cell r="K231">
            <v>0</v>
          </cell>
          <cell r="L231">
            <v>0</v>
          </cell>
          <cell r="N231">
            <v>0</v>
          </cell>
          <cell r="O231">
            <v>0</v>
          </cell>
          <cell r="Q231">
            <v>0</v>
          </cell>
          <cell r="V231">
            <v>0</v>
          </cell>
        </row>
        <row r="232">
          <cell r="B232" t="str">
            <v>9019585 0070</v>
          </cell>
          <cell r="C232" t="str">
            <v>IN</v>
          </cell>
          <cell r="D232" t="str">
            <v>9019585 0070</v>
          </cell>
          <cell r="E232">
            <v>38108</v>
          </cell>
          <cell r="F232">
            <v>2004</v>
          </cell>
          <cell r="G232">
            <v>5</v>
          </cell>
          <cell r="H232" t="str">
            <v>N</v>
          </cell>
          <cell r="I232">
            <v>0</v>
          </cell>
          <cell r="K232">
            <v>0</v>
          </cell>
          <cell r="L232">
            <v>0</v>
          </cell>
          <cell r="N232">
            <v>0</v>
          </cell>
          <cell r="O232">
            <v>0</v>
          </cell>
          <cell r="Q232">
            <v>0</v>
          </cell>
          <cell r="V232">
            <v>0</v>
          </cell>
        </row>
        <row r="233">
          <cell r="B233" t="str">
            <v>9019585 0080</v>
          </cell>
          <cell r="C233" t="str">
            <v>AD</v>
          </cell>
          <cell r="D233" t="str">
            <v>9019585 0080</v>
          </cell>
          <cell r="E233">
            <v>38108</v>
          </cell>
          <cell r="F233">
            <v>2004</v>
          </cell>
          <cell r="G233">
            <v>5</v>
          </cell>
          <cell r="H233" t="str">
            <v>N</v>
          </cell>
          <cell r="I233">
            <v>800</v>
          </cell>
          <cell r="K233">
            <v>800</v>
          </cell>
          <cell r="L233">
            <v>0</v>
          </cell>
          <cell r="N233">
            <v>0</v>
          </cell>
          <cell r="O233">
            <v>0</v>
          </cell>
          <cell r="Q233">
            <v>0</v>
          </cell>
          <cell r="V233">
            <v>0</v>
          </cell>
        </row>
        <row r="234">
          <cell r="B234" t="str">
            <v>9019585 0010</v>
          </cell>
          <cell r="C234" t="str">
            <v>IN</v>
          </cell>
          <cell r="D234" t="str">
            <v>9019585 0010</v>
          </cell>
          <cell r="E234">
            <v>38139</v>
          </cell>
          <cell r="F234">
            <v>2004</v>
          </cell>
          <cell r="G234">
            <v>6</v>
          </cell>
          <cell r="H234" t="str">
            <v>N</v>
          </cell>
          <cell r="I234">
            <v>0</v>
          </cell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Q234">
            <v>0</v>
          </cell>
          <cell r="V234">
            <v>0</v>
          </cell>
        </row>
        <row r="235">
          <cell r="B235" t="str">
            <v>9019585 0020</v>
          </cell>
          <cell r="C235" t="str">
            <v>IN</v>
          </cell>
          <cell r="D235" t="str">
            <v>9019585 0020</v>
          </cell>
          <cell r="E235">
            <v>38139</v>
          </cell>
          <cell r="F235">
            <v>2004</v>
          </cell>
          <cell r="G235">
            <v>6</v>
          </cell>
          <cell r="H235" t="str">
            <v>N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</row>
        <row r="236">
          <cell r="B236" t="str">
            <v>9019585 0030</v>
          </cell>
          <cell r="C236" t="str">
            <v>IN</v>
          </cell>
          <cell r="D236" t="str">
            <v>9019585 0030</v>
          </cell>
          <cell r="E236">
            <v>38139</v>
          </cell>
          <cell r="F236">
            <v>2004</v>
          </cell>
          <cell r="G236">
            <v>6</v>
          </cell>
          <cell r="H236" t="str">
            <v>N</v>
          </cell>
          <cell r="I236">
            <v>0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Q236">
            <v>0</v>
          </cell>
        </row>
        <row r="237">
          <cell r="B237" t="str">
            <v>9019585 0040</v>
          </cell>
          <cell r="C237" t="str">
            <v>IN</v>
          </cell>
          <cell r="D237" t="str">
            <v>9019585 0040</v>
          </cell>
          <cell r="E237">
            <v>38139</v>
          </cell>
          <cell r="F237">
            <v>2004</v>
          </cell>
          <cell r="G237">
            <v>6</v>
          </cell>
          <cell r="H237" t="str">
            <v>N</v>
          </cell>
          <cell r="I237">
            <v>0</v>
          </cell>
          <cell r="K237">
            <v>0</v>
          </cell>
          <cell r="L237">
            <v>100000</v>
          </cell>
          <cell r="N237">
            <v>100000</v>
          </cell>
          <cell r="O237">
            <v>100000</v>
          </cell>
          <cell r="Q237">
            <v>100000</v>
          </cell>
          <cell r="W237">
            <v>100000</v>
          </cell>
        </row>
        <row r="238">
          <cell r="B238" t="str">
            <v>9019585 0050</v>
          </cell>
          <cell r="C238" t="str">
            <v>IN</v>
          </cell>
          <cell r="D238" t="str">
            <v>9019585 0050</v>
          </cell>
          <cell r="E238">
            <v>38139</v>
          </cell>
          <cell r="F238">
            <v>2004</v>
          </cell>
          <cell r="G238">
            <v>6</v>
          </cell>
          <cell r="H238" t="str">
            <v>N</v>
          </cell>
          <cell r="I238">
            <v>10665.03899042054</v>
          </cell>
          <cell r="K238">
            <v>10665.03899042054</v>
          </cell>
          <cell r="L238">
            <v>0</v>
          </cell>
          <cell r="N238">
            <v>0</v>
          </cell>
          <cell r="O238">
            <v>0</v>
          </cell>
          <cell r="Q238">
            <v>0</v>
          </cell>
          <cell r="W238">
            <v>0</v>
          </cell>
        </row>
        <row r="239">
          <cell r="B239" t="str">
            <v>9019585 0060</v>
          </cell>
          <cell r="C239" t="str">
            <v>IN</v>
          </cell>
          <cell r="D239" t="str">
            <v>9019585 0060</v>
          </cell>
          <cell r="E239">
            <v>38139</v>
          </cell>
          <cell r="F239">
            <v>2004</v>
          </cell>
          <cell r="G239">
            <v>6</v>
          </cell>
          <cell r="H239" t="str">
            <v>N</v>
          </cell>
          <cell r="I239">
            <v>0</v>
          </cell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Q239">
            <v>0</v>
          </cell>
          <cell r="W239">
            <v>0</v>
          </cell>
        </row>
        <row r="240">
          <cell r="B240" t="str">
            <v>9019585 0070</v>
          </cell>
          <cell r="C240" t="str">
            <v>IN</v>
          </cell>
          <cell r="D240" t="str">
            <v>9019585 0070</v>
          </cell>
          <cell r="E240">
            <v>38139</v>
          </cell>
          <cell r="F240">
            <v>2004</v>
          </cell>
          <cell r="G240">
            <v>6</v>
          </cell>
          <cell r="H240" t="str">
            <v>N</v>
          </cell>
          <cell r="I240">
            <v>1349.4660574767768</v>
          </cell>
          <cell r="K240">
            <v>1349.4660574767768</v>
          </cell>
          <cell r="L240">
            <v>0</v>
          </cell>
          <cell r="N240">
            <v>0</v>
          </cell>
          <cell r="O240">
            <v>0</v>
          </cell>
          <cell r="Q240">
            <v>0</v>
          </cell>
          <cell r="W240">
            <v>0</v>
          </cell>
        </row>
        <row r="241">
          <cell r="B241" t="str">
            <v>9019585 0080</v>
          </cell>
          <cell r="C241" t="str">
            <v>AD</v>
          </cell>
          <cell r="D241" t="str">
            <v>9019585 0080</v>
          </cell>
          <cell r="E241">
            <v>38139</v>
          </cell>
          <cell r="F241">
            <v>2004</v>
          </cell>
          <cell r="G241">
            <v>6</v>
          </cell>
          <cell r="H241" t="str">
            <v>N</v>
          </cell>
          <cell r="I241">
            <v>800</v>
          </cell>
          <cell r="K241">
            <v>800</v>
          </cell>
          <cell r="L241">
            <v>0</v>
          </cell>
          <cell r="N241">
            <v>0</v>
          </cell>
          <cell r="O241">
            <v>0</v>
          </cell>
          <cell r="Q241">
            <v>0</v>
          </cell>
          <cell r="W241">
            <v>0</v>
          </cell>
        </row>
        <row r="242">
          <cell r="B242" t="str">
            <v>9019585 0010</v>
          </cell>
          <cell r="C242" t="str">
            <v>IN</v>
          </cell>
          <cell r="D242" t="str">
            <v>9019585 0010</v>
          </cell>
          <cell r="E242">
            <v>38169</v>
          </cell>
          <cell r="F242">
            <v>2004</v>
          </cell>
          <cell r="G242">
            <v>7</v>
          </cell>
          <cell r="H242" t="str">
            <v>N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W242">
            <v>0</v>
          </cell>
        </row>
        <row r="243">
          <cell r="B243" t="str">
            <v>9019585 0020</v>
          </cell>
          <cell r="C243" t="str">
            <v>IN</v>
          </cell>
          <cell r="D243" t="str">
            <v>9019585 0020</v>
          </cell>
          <cell r="E243">
            <v>38169</v>
          </cell>
          <cell r="F243">
            <v>2004</v>
          </cell>
          <cell r="G243">
            <v>7</v>
          </cell>
          <cell r="H243" t="str">
            <v>N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W243">
            <v>0</v>
          </cell>
        </row>
        <row r="244">
          <cell r="B244" t="str">
            <v>9019585 0030</v>
          </cell>
          <cell r="C244" t="str">
            <v>IN</v>
          </cell>
          <cell r="D244" t="str">
            <v>9019585 0030</v>
          </cell>
          <cell r="E244">
            <v>38169</v>
          </cell>
          <cell r="F244">
            <v>2004</v>
          </cell>
          <cell r="G244">
            <v>7</v>
          </cell>
          <cell r="H244" t="str">
            <v>N</v>
          </cell>
          <cell r="I244">
            <v>0</v>
          </cell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Q244">
            <v>0</v>
          </cell>
          <cell r="W244">
            <v>0</v>
          </cell>
        </row>
        <row r="245">
          <cell r="B245" t="str">
            <v>9019585 0040</v>
          </cell>
          <cell r="C245" t="str">
            <v>IN</v>
          </cell>
          <cell r="D245" t="str">
            <v>9019585 0040</v>
          </cell>
          <cell r="E245">
            <v>38169</v>
          </cell>
          <cell r="F245">
            <v>2004</v>
          </cell>
          <cell r="G245">
            <v>7</v>
          </cell>
          <cell r="H245" t="str">
            <v>N</v>
          </cell>
          <cell r="I245">
            <v>0</v>
          </cell>
          <cell r="K245">
            <v>0</v>
          </cell>
          <cell r="L245">
            <v>92000</v>
          </cell>
          <cell r="N245">
            <v>92000</v>
          </cell>
          <cell r="O245">
            <v>92000</v>
          </cell>
          <cell r="Q245">
            <v>92000</v>
          </cell>
          <cell r="W245">
            <v>92000</v>
          </cell>
        </row>
        <row r="246">
          <cell r="B246" t="str">
            <v>9019585 0050</v>
          </cell>
          <cell r="C246" t="str">
            <v>IN</v>
          </cell>
          <cell r="D246" t="str">
            <v>9019585 0050</v>
          </cell>
          <cell r="E246">
            <v>38169</v>
          </cell>
          <cell r="F246">
            <v>2004</v>
          </cell>
          <cell r="G246">
            <v>7</v>
          </cell>
          <cell r="H246" t="str">
            <v>N</v>
          </cell>
          <cell r="I246">
            <v>10665.03899042054</v>
          </cell>
          <cell r="K246">
            <v>10665.03899042054</v>
          </cell>
          <cell r="L246">
            <v>0</v>
          </cell>
          <cell r="N246">
            <v>0</v>
          </cell>
          <cell r="O246">
            <v>0</v>
          </cell>
          <cell r="Q246">
            <v>0</v>
          </cell>
        </row>
        <row r="247">
          <cell r="B247" t="str">
            <v>9019585 0060</v>
          </cell>
          <cell r="C247" t="str">
            <v>IN</v>
          </cell>
          <cell r="D247" t="str">
            <v>9019585 0060</v>
          </cell>
          <cell r="E247">
            <v>38169</v>
          </cell>
          <cell r="F247">
            <v>2004</v>
          </cell>
          <cell r="G247">
            <v>7</v>
          </cell>
          <cell r="H247" t="str">
            <v>N</v>
          </cell>
          <cell r="I247">
            <v>0</v>
          </cell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Q247">
            <v>0</v>
          </cell>
        </row>
        <row r="248">
          <cell r="B248" t="str">
            <v>9019585 0070</v>
          </cell>
          <cell r="C248" t="str">
            <v>IN</v>
          </cell>
          <cell r="D248" t="str">
            <v>9019585 0070</v>
          </cell>
          <cell r="E248">
            <v>38169</v>
          </cell>
          <cell r="F248">
            <v>2004</v>
          </cell>
          <cell r="G248">
            <v>7</v>
          </cell>
          <cell r="H248" t="str">
            <v>N</v>
          </cell>
          <cell r="I248">
            <v>0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Q248">
            <v>0</v>
          </cell>
        </row>
        <row r="249">
          <cell r="B249" t="str">
            <v>9019585 0080</v>
          </cell>
          <cell r="C249" t="str">
            <v>AD</v>
          </cell>
          <cell r="D249" t="str">
            <v>9019585 0080</v>
          </cell>
          <cell r="E249">
            <v>38169</v>
          </cell>
          <cell r="F249">
            <v>2004</v>
          </cell>
          <cell r="G249">
            <v>7</v>
          </cell>
          <cell r="H249" t="str">
            <v>N</v>
          </cell>
          <cell r="I249">
            <v>800</v>
          </cell>
          <cell r="K249">
            <v>800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</row>
        <row r="250">
          <cell r="B250" t="str">
            <v>9019585 0010</v>
          </cell>
          <cell r="C250" t="str">
            <v>IN</v>
          </cell>
          <cell r="D250" t="str">
            <v>9019585 0010</v>
          </cell>
          <cell r="E250">
            <v>38200</v>
          </cell>
          <cell r="F250">
            <v>2004</v>
          </cell>
          <cell r="G250">
            <v>8</v>
          </cell>
          <cell r="H250" t="str">
            <v>N</v>
          </cell>
          <cell r="I250">
            <v>0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Q250">
            <v>0</v>
          </cell>
        </row>
        <row r="251">
          <cell r="B251" t="str">
            <v>9019585 0020</v>
          </cell>
          <cell r="C251" t="str">
            <v>IN</v>
          </cell>
          <cell r="D251" t="str">
            <v>9019585 0020</v>
          </cell>
          <cell r="E251">
            <v>38200</v>
          </cell>
          <cell r="F251">
            <v>2004</v>
          </cell>
          <cell r="G251">
            <v>8</v>
          </cell>
          <cell r="H251" t="str">
            <v>N</v>
          </cell>
          <cell r="I251">
            <v>0</v>
          </cell>
          <cell r="K251">
            <v>0</v>
          </cell>
          <cell r="L251">
            <v>0</v>
          </cell>
          <cell r="N251">
            <v>0</v>
          </cell>
          <cell r="O251">
            <v>0</v>
          </cell>
          <cell r="Q251">
            <v>0</v>
          </cell>
        </row>
        <row r="252">
          <cell r="B252" t="str">
            <v>9019585 0030</v>
          </cell>
          <cell r="C252" t="str">
            <v>IN</v>
          </cell>
          <cell r="D252" t="str">
            <v>9019585 0030</v>
          </cell>
          <cell r="E252">
            <v>38200</v>
          </cell>
          <cell r="F252">
            <v>2004</v>
          </cell>
          <cell r="G252">
            <v>8</v>
          </cell>
          <cell r="H252" t="str">
            <v>N</v>
          </cell>
          <cell r="I252">
            <v>0</v>
          </cell>
          <cell r="K252">
            <v>0</v>
          </cell>
          <cell r="L252">
            <v>0</v>
          </cell>
          <cell r="N252">
            <v>0</v>
          </cell>
          <cell r="O252">
            <v>0</v>
          </cell>
          <cell r="Q252">
            <v>0</v>
          </cell>
        </row>
        <row r="253">
          <cell r="B253" t="str">
            <v>9019585 0040</v>
          </cell>
          <cell r="C253" t="str">
            <v>IN</v>
          </cell>
          <cell r="D253" t="str">
            <v>9019585 0040</v>
          </cell>
          <cell r="E253">
            <v>38200</v>
          </cell>
          <cell r="F253">
            <v>2004</v>
          </cell>
          <cell r="G253">
            <v>8</v>
          </cell>
          <cell r="H253" t="str">
            <v>N</v>
          </cell>
          <cell r="I253">
            <v>0</v>
          </cell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Q253">
            <v>0</v>
          </cell>
        </row>
        <row r="254">
          <cell r="B254" t="str">
            <v>9019585 0050</v>
          </cell>
          <cell r="C254" t="str">
            <v>IN</v>
          </cell>
          <cell r="D254" t="str">
            <v>9019585 0050</v>
          </cell>
          <cell r="E254">
            <v>38200</v>
          </cell>
          <cell r="F254">
            <v>2004</v>
          </cell>
          <cell r="G254">
            <v>8</v>
          </cell>
          <cell r="H254" t="str">
            <v>N</v>
          </cell>
          <cell r="I254">
            <v>10665.03899042054</v>
          </cell>
          <cell r="K254">
            <v>10665.03899042054</v>
          </cell>
          <cell r="L254">
            <v>0</v>
          </cell>
          <cell r="N254">
            <v>0</v>
          </cell>
          <cell r="O254">
            <v>0</v>
          </cell>
          <cell r="Q254">
            <v>0</v>
          </cell>
          <cell r="V254">
            <v>0</v>
          </cell>
        </row>
        <row r="255">
          <cell r="B255" t="str">
            <v>9019585 0060</v>
          </cell>
          <cell r="C255" t="str">
            <v>IN</v>
          </cell>
          <cell r="D255" t="str">
            <v>9019585 0060</v>
          </cell>
          <cell r="E255">
            <v>38200</v>
          </cell>
          <cell r="F255">
            <v>2004</v>
          </cell>
          <cell r="G255">
            <v>8</v>
          </cell>
          <cell r="H255" t="str">
            <v>N</v>
          </cell>
          <cell r="I255">
            <v>0</v>
          </cell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Q255">
            <v>0</v>
          </cell>
          <cell r="V255">
            <v>0</v>
          </cell>
        </row>
        <row r="256">
          <cell r="B256" t="str">
            <v>9019585 0070</v>
          </cell>
          <cell r="C256" t="str">
            <v>IN</v>
          </cell>
          <cell r="D256" t="str">
            <v>9019585 0070</v>
          </cell>
          <cell r="E256">
            <v>38200</v>
          </cell>
          <cell r="F256">
            <v>2004</v>
          </cell>
          <cell r="G256">
            <v>8</v>
          </cell>
          <cell r="H256" t="str">
            <v>N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V256">
            <v>0</v>
          </cell>
        </row>
        <row r="257">
          <cell r="B257" t="str">
            <v>9019585 0080</v>
          </cell>
          <cell r="C257" t="str">
            <v>AD</v>
          </cell>
          <cell r="D257" t="str">
            <v>9019585 0080</v>
          </cell>
          <cell r="E257">
            <v>38200</v>
          </cell>
          <cell r="F257">
            <v>2004</v>
          </cell>
          <cell r="G257">
            <v>8</v>
          </cell>
          <cell r="H257" t="str">
            <v>N</v>
          </cell>
          <cell r="I257">
            <v>800</v>
          </cell>
          <cell r="K257">
            <v>800</v>
          </cell>
          <cell r="L257">
            <v>0</v>
          </cell>
          <cell r="N257">
            <v>0</v>
          </cell>
          <cell r="O257">
            <v>0</v>
          </cell>
          <cell r="Q257">
            <v>0</v>
          </cell>
          <cell r="V257">
            <v>0</v>
          </cell>
        </row>
        <row r="258">
          <cell r="B258" t="str">
            <v>9019585 0010</v>
          </cell>
          <cell r="C258" t="str">
            <v>IN</v>
          </cell>
          <cell r="D258" t="str">
            <v>9019585 0010</v>
          </cell>
          <cell r="E258">
            <v>38231</v>
          </cell>
          <cell r="F258">
            <v>2004</v>
          </cell>
          <cell r="G258">
            <v>9</v>
          </cell>
          <cell r="H258" t="str">
            <v>N</v>
          </cell>
          <cell r="I258">
            <v>0</v>
          </cell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Q258">
            <v>0</v>
          </cell>
          <cell r="V258">
            <v>0</v>
          </cell>
        </row>
        <row r="259">
          <cell r="B259" t="str">
            <v>9019585 0020</v>
          </cell>
          <cell r="C259" t="str">
            <v>IN</v>
          </cell>
          <cell r="D259" t="str">
            <v>9019585 0020</v>
          </cell>
          <cell r="E259">
            <v>38231</v>
          </cell>
          <cell r="F259">
            <v>2004</v>
          </cell>
          <cell r="G259">
            <v>9</v>
          </cell>
          <cell r="H259" t="str">
            <v>N</v>
          </cell>
          <cell r="I259">
            <v>0</v>
          </cell>
          <cell r="K259">
            <v>0</v>
          </cell>
          <cell r="L259">
            <v>0</v>
          </cell>
          <cell r="N259">
            <v>0</v>
          </cell>
          <cell r="O259">
            <v>0</v>
          </cell>
          <cell r="Q259">
            <v>0</v>
          </cell>
          <cell r="V259">
            <v>0</v>
          </cell>
        </row>
        <row r="260">
          <cell r="B260" t="str">
            <v>9019585 0030</v>
          </cell>
          <cell r="C260" t="str">
            <v>IN</v>
          </cell>
          <cell r="D260" t="str">
            <v>9019585 0030</v>
          </cell>
          <cell r="E260">
            <v>38231</v>
          </cell>
          <cell r="F260">
            <v>2004</v>
          </cell>
          <cell r="G260">
            <v>9</v>
          </cell>
          <cell r="H260" t="str">
            <v>N</v>
          </cell>
          <cell r="I260">
            <v>0</v>
          </cell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Q260">
            <v>0</v>
          </cell>
          <cell r="V260">
            <v>0</v>
          </cell>
        </row>
        <row r="261">
          <cell r="B261" t="str">
            <v>9019585 0040</v>
          </cell>
          <cell r="C261" t="str">
            <v>IN</v>
          </cell>
          <cell r="D261" t="str">
            <v>9019585 0040</v>
          </cell>
          <cell r="E261">
            <v>38231</v>
          </cell>
          <cell r="F261">
            <v>2004</v>
          </cell>
          <cell r="G261">
            <v>9</v>
          </cell>
          <cell r="H261" t="str">
            <v>N</v>
          </cell>
          <cell r="I261">
            <v>0</v>
          </cell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Q261">
            <v>0</v>
          </cell>
          <cell r="V261">
            <v>0</v>
          </cell>
        </row>
        <row r="262">
          <cell r="B262" t="str">
            <v>9019585 0050</v>
          </cell>
          <cell r="C262" t="str">
            <v>IN</v>
          </cell>
          <cell r="D262" t="str">
            <v>9019585 0050</v>
          </cell>
          <cell r="E262">
            <v>38231</v>
          </cell>
          <cell r="F262">
            <v>2004</v>
          </cell>
          <cell r="G262">
            <v>9</v>
          </cell>
          <cell r="H262" t="str">
            <v>N</v>
          </cell>
          <cell r="I262">
            <v>0</v>
          </cell>
          <cell r="K262">
            <v>0</v>
          </cell>
          <cell r="L262">
            <v>0</v>
          </cell>
          <cell r="N262">
            <v>0</v>
          </cell>
          <cell r="O262">
            <v>0</v>
          </cell>
          <cell r="Q262">
            <v>0</v>
          </cell>
          <cell r="V262">
            <v>0</v>
          </cell>
        </row>
        <row r="263">
          <cell r="B263" t="str">
            <v>9019585 0060</v>
          </cell>
          <cell r="C263" t="str">
            <v>IN</v>
          </cell>
          <cell r="D263" t="str">
            <v>9019585 0060</v>
          </cell>
          <cell r="E263">
            <v>38231</v>
          </cell>
          <cell r="F263">
            <v>2004</v>
          </cell>
          <cell r="G263">
            <v>9</v>
          </cell>
          <cell r="H263" t="str">
            <v>N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V263">
            <v>0</v>
          </cell>
        </row>
        <row r="264">
          <cell r="B264" t="str">
            <v>9019585 0070</v>
          </cell>
          <cell r="C264" t="str">
            <v>IN</v>
          </cell>
          <cell r="D264" t="str">
            <v>9019585 0070</v>
          </cell>
          <cell r="E264">
            <v>38231</v>
          </cell>
          <cell r="F264">
            <v>2004</v>
          </cell>
          <cell r="G264">
            <v>9</v>
          </cell>
          <cell r="H264" t="str">
            <v>N</v>
          </cell>
          <cell r="I264">
            <v>0</v>
          </cell>
          <cell r="K264">
            <v>0</v>
          </cell>
          <cell r="L264">
            <v>0</v>
          </cell>
          <cell r="N264">
            <v>0</v>
          </cell>
          <cell r="O264">
            <v>0</v>
          </cell>
          <cell r="Q264">
            <v>0</v>
          </cell>
          <cell r="V264">
            <v>0</v>
          </cell>
        </row>
        <row r="265">
          <cell r="B265" t="str">
            <v>9019585 0080</v>
          </cell>
          <cell r="C265" t="str">
            <v>AD</v>
          </cell>
          <cell r="D265" t="str">
            <v>9019585 0080</v>
          </cell>
          <cell r="E265">
            <v>38231</v>
          </cell>
          <cell r="F265">
            <v>2004</v>
          </cell>
          <cell r="G265">
            <v>9</v>
          </cell>
          <cell r="H265" t="str">
            <v>N</v>
          </cell>
          <cell r="I265">
            <v>0</v>
          </cell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Q265">
            <v>0</v>
          </cell>
          <cell r="V265">
            <v>0</v>
          </cell>
        </row>
        <row r="266">
          <cell r="B266" t="str">
            <v>9019585 0010</v>
          </cell>
          <cell r="C266" t="str">
            <v>IN</v>
          </cell>
          <cell r="D266" t="str">
            <v>9019585 0010</v>
          </cell>
          <cell r="E266">
            <v>38261</v>
          </cell>
          <cell r="F266">
            <v>2004</v>
          </cell>
          <cell r="G266">
            <v>10</v>
          </cell>
          <cell r="H266" t="str">
            <v>N</v>
          </cell>
          <cell r="I266">
            <v>0</v>
          </cell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Q266">
            <v>0</v>
          </cell>
          <cell r="V266">
            <v>0</v>
          </cell>
        </row>
        <row r="267">
          <cell r="B267" t="str">
            <v>9019585 0020</v>
          </cell>
          <cell r="C267" t="str">
            <v>IN</v>
          </cell>
          <cell r="D267" t="str">
            <v>9019585 0020</v>
          </cell>
          <cell r="E267">
            <v>38261</v>
          </cell>
          <cell r="F267">
            <v>2004</v>
          </cell>
          <cell r="G267">
            <v>10</v>
          </cell>
          <cell r="H267" t="str">
            <v>N</v>
          </cell>
          <cell r="I267">
            <v>0</v>
          </cell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Q267">
            <v>0</v>
          </cell>
          <cell r="V267">
            <v>0</v>
          </cell>
        </row>
        <row r="268">
          <cell r="B268" t="str">
            <v>9019585 0030</v>
          </cell>
          <cell r="C268" t="str">
            <v>IN</v>
          </cell>
          <cell r="D268" t="str">
            <v>9019585 0030</v>
          </cell>
          <cell r="E268">
            <v>38261</v>
          </cell>
          <cell r="F268">
            <v>2004</v>
          </cell>
          <cell r="G268">
            <v>10</v>
          </cell>
          <cell r="H268" t="str">
            <v>N</v>
          </cell>
          <cell r="I268">
            <v>0</v>
          </cell>
          <cell r="K268">
            <v>0</v>
          </cell>
          <cell r="L268">
            <v>0</v>
          </cell>
          <cell r="N268">
            <v>0</v>
          </cell>
          <cell r="O268">
            <v>0</v>
          </cell>
          <cell r="Q268">
            <v>0</v>
          </cell>
          <cell r="V268">
            <v>0</v>
          </cell>
        </row>
        <row r="269">
          <cell r="B269" t="str">
            <v>9019585 0040</v>
          </cell>
          <cell r="C269" t="str">
            <v>IN</v>
          </cell>
          <cell r="D269" t="str">
            <v>9019585 0040</v>
          </cell>
          <cell r="E269">
            <v>38261</v>
          </cell>
          <cell r="F269">
            <v>2004</v>
          </cell>
          <cell r="G269">
            <v>10</v>
          </cell>
          <cell r="H269" t="str">
            <v>N</v>
          </cell>
          <cell r="I269">
            <v>0</v>
          </cell>
          <cell r="K269">
            <v>0</v>
          </cell>
          <cell r="L269">
            <v>0</v>
          </cell>
          <cell r="N269">
            <v>0</v>
          </cell>
          <cell r="O269">
            <v>0</v>
          </cell>
          <cell r="Q269">
            <v>0</v>
          </cell>
          <cell r="V269">
            <v>0</v>
          </cell>
        </row>
        <row r="270">
          <cell r="B270" t="str">
            <v>9019585 0050</v>
          </cell>
          <cell r="C270" t="str">
            <v>IN</v>
          </cell>
          <cell r="D270" t="str">
            <v>9019585 0050</v>
          </cell>
          <cell r="E270">
            <v>38261</v>
          </cell>
          <cell r="F270">
            <v>2004</v>
          </cell>
          <cell r="G270">
            <v>10</v>
          </cell>
          <cell r="H270" t="str">
            <v>N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V270">
            <v>0</v>
          </cell>
        </row>
        <row r="271">
          <cell r="B271" t="str">
            <v>9019585 0060</v>
          </cell>
          <cell r="C271" t="str">
            <v>IN</v>
          </cell>
          <cell r="D271" t="str">
            <v>9019585 0060</v>
          </cell>
          <cell r="E271">
            <v>38261</v>
          </cell>
          <cell r="F271">
            <v>2004</v>
          </cell>
          <cell r="G271">
            <v>10</v>
          </cell>
          <cell r="H271" t="str">
            <v>N</v>
          </cell>
          <cell r="I271">
            <v>0</v>
          </cell>
          <cell r="K271">
            <v>0</v>
          </cell>
          <cell r="L271">
            <v>0</v>
          </cell>
          <cell r="N271">
            <v>0</v>
          </cell>
          <cell r="O271">
            <v>0</v>
          </cell>
          <cell r="Q271">
            <v>0</v>
          </cell>
          <cell r="V271">
            <v>0</v>
          </cell>
        </row>
        <row r="272">
          <cell r="B272" t="str">
            <v>9019585 0070</v>
          </cell>
          <cell r="C272" t="str">
            <v>IN</v>
          </cell>
          <cell r="D272" t="str">
            <v>9019585 0070</v>
          </cell>
          <cell r="E272">
            <v>38261</v>
          </cell>
          <cell r="F272">
            <v>2004</v>
          </cell>
          <cell r="G272">
            <v>10</v>
          </cell>
          <cell r="H272" t="str">
            <v>N</v>
          </cell>
          <cell r="I272">
            <v>0</v>
          </cell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Q272">
            <v>0</v>
          </cell>
          <cell r="V272">
            <v>0</v>
          </cell>
        </row>
        <row r="273">
          <cell r="B273" t="str">
            <v>9019585 0080</v>
          </cell>
          <cell r="C273" t="str">
            <v>AD</v>
          </cell>
          <cell r="D273" t="str">
            <v>9019585 0080</v>
          </cell>
          <cell r="E273">
            <v>38261</v>
          </cell>
          <cell r="F273">
            <v>2004</v>
          </cell>
          <cell r="G273">
            <v>10</v>
          </cell>
          <cell r="H273" t="str">
            <v>N</v>
          </cell>
          <cell r="I273">
            <v>0</v>
          </cell>
          <cell r="K273">
            <v>0</v>
          </cell>
          <cell r="L273">
            <v>0</v>
          </cell>
          <cell r="N273">
            <v>0</v>
          </cell>
          <cell r="O273">
            <v>0</v>
          </cell>
          <cell r="Q273">
            <v>0</v>
          </cell>
          <cell r="V273">
            <v>0</v>
          </cell>
        </row>
        <row r="274">
          <cell r="B274" t="str">
            <v>9019585 0010</v>
          </cell>
          <cell r="C274" t="str">
            <v>IN</v>
          </cell>
          <cell r="D274" t="str">
            <v>9019585 0010</v>
          </cell>
          <cell r="E274">
            <v>38292</v>
          </cell>
          <cell r="F274">
            <v>2004</v>
          </cell>
          <cell r="G274">
            <v>11</v>
          </cell>
          <cell r="H274" t="str">
            <v>N</v>
          </cell>
          <cell r="I274">
            <v>0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Q274">
            <v>0</v>
          </cell>
          <cell r="V274">
            <v>0</v>
          </cell>
        </row>
        <row r="275">
          <cell r="B275" t="str">
            <v>9019585 0020</v>
          </cell>
          <cell r="C275" t="str">
            <v>IN</v>
          </cell>
          <cell r="D275" t="str">
            <v>9019585 0020</v>
          </cell>
          <cell r="E275">
            <v>38292</v>
          </cell>
          <cell r="F275">
            <v>2004</v>
          </cell>
          <cell r="G275">
            <v>11</v>
          </cell>
          <cell r="H275" t="str">
            <v>N</v>
          </cell>
          <cell r="I275">
            <v>0</v>
          </cell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Q275">
            <v>0</v>
          </cell>
          <cell r="V275">
            <v>0</v>
          </cell>
        </row>
        <row r="276">
          <cell r="B276" t="str">
            <v>9019585 0030</v>
          </cell>
          <cell r="C276" t="str">
            <v>IN</v>
          </cell>
          <cell r="D276" t="str">
            <v>9019585 0030</v>
          </cell>
          <cell r="E276">
            <v>38292</v>
          </cell>
          <cell r="F276">
            <v>2004</v>
          </cell>
          <cell r="G276">
            <v>11</v>
          </cell>
          <cell r="H276" t="str">
            <v>N</v>
          </cell>
          <cell r="I276">
            <v>0</v>
          </cell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Q276">
            <v>0</v>
          </cell>
          <cell r="V276">
            <v>0</v>
          </cell>
        </row>
        <row r="277">
          <cell r="B277" t="str">
            <v>9019585 0040</v>
          </cell>
          <cell r="C277" t="str">
            <v>IN</v>
          </cell>
          <cell r="D277" t="str">
            <v>9019585 0040</v>
          </cell>
          <cell r="E277">
            <v>38292</v>
          </cell>
          <cell r="F277">
            <v>2004</v>
          </cell>
          <cell r="G277">
            <v>11</v>
          </cell>
          <cell r="H277" t="str">
            <v>N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V277">
            <v>0</v>
          </cell>
        </row>
        <row r="278">
          <cell r="B278" t="str">
            <v>9019585 0050</v>
          </cell>
          <cell r="C278" t="str">
            <v>IN</v>
          </cell>
          <cell r="D278" t="str">
            <v>9019585 0050</v>
          </cell>
          <cell r="E278">
            <v>38292</v>
          </cell>
          <cell r="F278">
            <v>2004</v>
          </cell>
          <cell r="G278">
            <v>11</v>
          </cell>
          <cell r="H278" t="str">
            <v>N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V278">
            <v>0</v>
          </cell>
        </row>
        <row r="279">
          <cell r="B279" t="str">
            <v>9019585 0060</v>
          </cell>
          <cell r="C279" t="str">
            <v>IN</v>
          </cell>
          <cell r="D279" t="str">
            <v>9019585 0060</v>
          </cell>
          <cell r="E279">
            <v>38292</v>
          </cell>
          <cell r="F279">
            <v>2004</v>
          </cell>
          <cell r="G279">
            <v>11</v>
          </cell>
          <cell r="H279" t="str">
            <v>N</v>
          </cell>
          <cell r="I279">
            <v>0</v>
          </cell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Q279">
            <v>0</v>
          </cell>
          <cell r="V279">
            <v>0</v>
          </cell>
        </row>
        <row r="280">
          <cell r="B280" t="str">
            <v>9019585 0070</v>
          </cell>
          <cell r="C280" t="str">
            <v>IN</v>
          </cell>
          <cell r="D280" t="str">
            <v>9019585 0070</v>
          </cell>
          <cell r="E280">
            <v>38292</v>
          </cell>
          <cell r="F280">
            <v>2004</v>
          </cell>
          <cell r="G280">
            <v>11</v>
          </cell>
          <cell r="H280" t="str">
            <v>N</v>
          </cell>
          <cell r="I280">
            <v>0</v>
          </cell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Q280">
            <v>0</v>
          </cell>
          <cell r="V280">
            <v>0</v>
          </cell>
        </row>
        <row r="281">
          <cell r="B281" t="str">
            <v>9019585 0080</v>
          </cell>
          <cell r="C281" t="str">
            <v>AD</v>
          </cell>
          <cell r="D281" t="str">
            <v>9019585 0080</v>
          </cell>
          <cell r="E281">
            <v>38292</v>
          </cell>
          <cell r="F281">
            <v>2004</v>
          </cell>
          <cell r="G281">
            <v>11</v>
          </cell>
          <cell r="H281" t="str">
            <v>N</v>
          </cell>
          <cell r="I281">
            <v>0</v>
          </cell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Q281">
            <v>0</v>
          </cell>
          <cell r="V281">
            <v>0</v>
          </cell>
        </row>
        <row r="282">
          <cell r="B282" t="str">
            <v>9019585 0010</v>
          </cell>
          <cell r="C282" t="str">
            <v>IN</v>
          </cell>
          <cell r="D282" t="str">
            <v>9019585 0010</v>
          </cell>
          <cell r="E282">
            <v>38322</v>
          </cell>
          <cell r="F282">
            <v>2004</v>
          </cell>
          <cell r="G282">
            <v>12</v>
          </cell>
          <cell r="H282" t="str">
            <v>N</v>
          </cell>
          <cell r="I282">
            <v>0</v>
          </cell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Q282">
            <v>0</v>
          </cell>
          <cell r="V282">
            <v>0</v>
          </cell>
        </row>
        <row r="283">
          <cell r="B283" t="str">
            <v>9019585 0020</v>
          </cell>
          <cell r="C283" t="str">
            <v>IN</v>
          </cell>
          <cell r="D283" t="str">
            <v>9019585 0020</v>
          </cell>
          <cell r="E283">
            <v>38322</v>
          </cell>
          <cell r="F283">
            <v>2004</v>
          </cell>
          <cell r="G283">
            <v>12</v>
          </cell>
          <cell r="H283" t="str">
            <v>N</v>
          </cell>
          <cell r="I283">
            <v>0</v>
          </cell>
          <cell r="K283">
            <v>0</v>
          </cell>
          <cell r="L283">
            <v>0</v>
          </cell>
          <cell r="N283">
            <v>0</v>
          </cell>
          <cell r="O283">
            <v>0</v>
          </cell>
          <cell r="Q283">
            <v>0</v>
          </cell>
          <cell r="V283">
            <v>0</v>
          </cell>
        </row>
        <row r="284">
          <cell r="B284" t="str">
            <v>9019585 0030</v>
          </cell>
          <cell r="C284" t="str">
            <v>IN</v>
          </cell>
          <cell r="D284" t="str">
            <v>9019585 0030</v>
          </cell>
          <cell r="E284">
            <v>38322</v>
          </cell>
          <cell r="F284">
            <v>2004</v>
          </cell>
          <cell r="G284">
            <v>12</v>
          </cell>
          <cell r="H284" t="str">
            <v>N</v>
          </cell>
          <cell r="I284">
            <v>0</v>
          </cell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Q284">
            <v>0</v>
          </cell>
          <cell r="V284">
            <v>0</v>
          </cell>
        </row>
        <row r="285">
          <cell r="B285" t="str">
            <v>9019585 0040</v>
          </cell>
          <cell r="C285" t="str">
            <v>IN</v>
          </cell>
          <cell r="D285" t="str">
            <v>9019585 0040</v>
          </cell>
          <cell r="E285">
            <v>38322</v>
          </cell>
          <cell r="F285">
            <v>2004</v>
          </cell>
          <cell r="G285">
            <v>12</v>
          </cell>
          <cell r="H285" t="str">
            <v>N</v>
          </cell>
          <cell r="I285">
            <v>0</v>
          </cell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Q285">
            <v>0</v>
          </cell>
          <cell r="V285">
            <v>0</v>
          </cell>
        </row>
        <row r="286">
          <cell r="B286" t="str">
            <v>9019585 0050</v>
          </cell>
          <cell r="C286" t="str">
            <v>IN</v>
          </cell>
          <cell r="D286" t="str">
            <v>9019585 0050</v>
          </cell>
          <cell r="E286">
            <v>38322</v>
          </cell>
          <cell r="F286">
            <v>2004</v>
          </cell>
          <cell r="G286">
            <v>12</v>
          </cell>
          <cell r="H286" t="str">
            <v>N</v>
          </cell>
          <cell r="I286">
            <v>0</v>
          </cell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Q286">
            <v>0</v>
          </cell>
          <cell r="V286">
            <v>0</v>
          </cell>
        </row>
        <row r="287">
          <cell r="B287" t="str">
            <v>9019585 0060</v>
          </cell>
          <cell r="C287" t="str">
            <v>IN</v>
          </cell>
          <cell r="D287" t="str">
            <v>9019585 0060</v>
          </cell>
          <cell r="E287">
            <v>38322</v>
          </cell>
          <cell r="F287">
            <v>2004</v>
          </cell>
          <cell r="G287">
            <v>12</v>
          </cell>
          <cell r="H287" t="str">
            <v>N</v>
          </cell>
          <cell r="I287">
            <v>0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V287">
            <v>0</v>
          </cell>
        </row>
        <row r="288">
          <cell r="B288" t="str">
            <v>9019585 0070</v>
          </cell>
          <cell r="C288" t="str">
            <v>IN</v>
          </cell>
          <cell r="D288" t="str">
            <v>9019585 0070</v>
          </cell>
          <cell r="E288">
            <v>38322</v>
          </cell>
          <cell r="F288">
            <v>2004</v>
          </cell>
          <cell r="G288">
            <v>12</v>
          </cell>
          <cell r="H288" t="str">
            <v>N</v>
          </cell>
          <cell r="I288">
            <v>0</v>
          </cell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Q288">
            <v>0</v>
          </cell>
          <cell r="V288">
            <v>0</v>
          </cell>
        </row>
        <row r="289">
          <cell r="B289" t="str">
            <v>9019585 0080</v>
          </cell>
          <cell r="C289" t="str">
            <v>AD</v>
          </cell>
          <cell r="D289" t="str">
            <v>9019585 0080</v>
          </cell>
          <cell r="E289">
            <v>38322</v>
          </cell>
          <cell r="F289">
            <v>2004</v>
          </cell>
          <cell r="G289">
            <v>12</v>
          </cell>
          <cell r="H289" t="str">
            <v>N</v>
          </cell>
          <cell r="I289">
            <v>0</v>
          </cell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Q289">
            <v>0</v>
          </cell>
          <cell r="V289">
            <v>0</v>
          </cell>
        </row>
      </sheetData>
      <sheetData sheetId="3">
        <row r="3">
          <cell r="F3" t="str">
            <v>T</v>
          </cell>
        </row>
        <row r="5">
          <cell r="F5">
            <v>37257</v>
          </cell>
          <cell r="G5">
            <v>38352</v>
          </cell>
          <cell r="H5">
            <v>38107</v>
          </cell>
          <cell r="I5">
            <v>1</v>
          </cell>
          <cell r="J5">
            <v>2004</v>
          </cell>
          <cell r="K5" t="str">
            <v>R</v>
          </cell>
          <cell r="L5" t="str">
            <v>A</v>
          </cell>
        </row>
        <row r="8">
          <cell r="D8" t="str">
            <v>ACT</v>
          </cell>
          <cell r="E8" t="str">
            <v>ACTIVIDAD</v>
          </cell>
          <cell r="F8" t="str">
            <v>API</v>
          </cell>
          <cell r="G8" t="str">
            <v>TRAF</v>
          </cell>
          <cell r="H8" t="str">
            <v>OC</v>
          </cell>
          <cell r="I8" t="str">
            <v>EC</v>
          </cell>
          <cell r="J8" t="str">
            <v>COMP</v>
          </cell>
          <cell r="K8" t="str">
            <v>XCOMP</v>
          </cell>
          <cell r="L8" t="str">
            <v>GINC</v>
          </cell>
          <cell r="M8" t="str">
            <v>GREAL</v>
          </cell>
          <cell r="N8" t="str">
            <v>PROY</v>
          </cell>
          <cell r="O8" t="str">
            <v>DIF</v>
          </cell>
          <cell r="Q8" t="str">
            <v>BCWS</v>
          </cell>
          <cell r="V8" t="str">
            <v>IDATE</v>
          </cell>
        </row>
        <row r="9">
          <cell r="D9" t="str">
            <v>9019585 0010</v>
          </cell>
          <cell r="E9" t="str">
            <v>SONDAJES PQ</v>
          </cell>
          <cell r="F9">
            <v>241558.32179976237</v>
          </cell>
          <cell r="G9">
            <v>0</v>
          </cell>
          <cell r="H9">
            <v>0</v>
          </cell>
          <cell r="I9">
            <v>241558.32179976237</v>
          </cell>
          <cell r="J9">
            <v>-1985.2</v>
          </cell>
          <cell r="K9">
            <v>0</v>
          </cell>
          <cell r="L9">
            <v>-1985.2</v>
          </cell>
          <cell r="M9">
            <v>-1985.2</v>
          </cell>
          <cell r="N9">
            <v>-1985.2</v>
          </cell>
          <cell r="O9">
            <v>-243543.52179976238</v>
          </cell>
          <cell r="Q9">
            <v>167011.5</v>
          </cell>
          <cell r="V9" t="str">
            <v>IIT</v>
          </cell>
        </row>
        <row r="10">
          <cell r="D10" t="str">
            <v>9019585 0020</v>
          </cell>
          <cell r="E10" t="str">
            <v>PERFORACION SONDAJES</v>
          </cell>
          <cell r="F10">
            <v>3508369.655049175</v>
          </cell>
          <cell r="G10">
            <v>0</v>
          </cell>
          <cell r="H10">
            <v>0</v>
          </cell>
          <cell r="I10">
            <v>3508369.655049175</v>
          </cell>
          <cell r="J10">
            <v>4071476.5999999996</v>
          </cell>
          <cell r="K10">
            <v>0</v>
          </cell>
          <cell r="L10">
            <v>4071476.5999999996</v>
          </cell>
          <cell r="M10">
            <v>4071476.5999999996</v>
          </cell>
          <cell r="N10">
            <v>4071476.5999999996</v>
          </cell>
          <cell r="O10">
            <v>563106.9449508246</v>
          </cell>
          <cell r="Q10">
            <v>3243630</v>
          </cell>
        </row>
        <row r="11">
          <cell r="D11" t="str">
            <v>9019585 0030</v>
          </cell>
          <cell r="E11" t="str">
            <v>INSPECCION TECNICA</v>
          </cell>
          <cell r="F11">
            <v>631820.1124926972</v>
          </cell>
          <cell r="G11">
            <v>0</v>
          </cell>
          <cell r="H11">
            <v>0</v>
          </cell>
          <cell r="I11">
            <v>631820.1124926972</v>
          </cell>
          <cell r="J11">
            <v>734089.4999999986</v>
          </cell>
          <cell r="K11">
            <v>0</v>
          </cell>
          <cell r="L11">
            <v>734089.4999999986</v>
          </cell>
          <cell r="M11">
            <v>734089.4999999986</v>
          </cell>
          <cell r="N11">
            <v>734089.4999999986</v>
          </cell>
          <cell r="O11">
            <v>102269.38750730141</v>
          </cell>
          <cell r="Q11">
            <v>536863.9</v>
          </cell>
        </row>
        <row r="12">
          <cell r="D12" t="str">
            <v>9019585 0040</v>
          </cell>
          <cell r="E12" t="str">
            <v>PREPARACION Y ANALISIS</v>
          </cell>
          <cell r="F12">
            <v>479751.46457757195</v>
          </cell>
          <cell r="G12">
            <v>0</v>
          </cell>
          <cell r="H12">
            <v>0</v>
          </cell>
          <cell r="I12">
            <v>479751.46457757195</v>
          </cell>
          <cell r="J12">
            <v>470245.70000000007</v>
          </cell>
          <cell r="K12">
            <v>192000</v>
          </cell>
          <cell r="L12">
            <v>470245.70000000007</v>
          </cell>
          <cell r="M12">
            <v>470245.70000000007</v>
          </cell>
          <cell r="N12">
            <v>662245.70000000007</v>
          </cell>
          <cell r="O12">
            <v>182494.23542242812</v>
          </cell>
        </row>
        <row r="13">
          <cell r="D13" t="str">
            <v>9019585 0050</v>
          </cell>
          <cell r="E13" t="str">
            <v>PERSONAL</v>
          </cell>
          <cell r="F13">
            <v>424389.38049777766</v>
          </cell>
          <cell r="G13">
            <v>0</v>
          </cell>
          <cell r="H13">
            <v>0</v>
          </cell>
          <cell r="I13">
            <v>424389.38049777766</v>
          </cell>
          <cell r="J13">
            <v>547020.5</v>
          </cell>
          <cell r="K13">
            <v>0</v>
          </cell>
          <cell r="L13">
            <v>470020.2</v>
          </cell>
          <cell r="M13">
            <v>470020.2</v>
          </cell>
          <cell r="N13">
            <v>547020.5</v>
          </cell>
          <cell r="O13">
            <v>122631.11950222234</v>
          </cell>
        </row>
        <row r="14">
          <cell r="D14" t="str">
            <v>9019585 0060</v>
          </cell>
          <cell r="E14" t="str">
            <v>GEOTECNIA</v>
          </cell>
          <cell r="F14">
            <v>94184.468289111959</v>
          </cell>
          <cell r="G14">
            <v>0</v>
          </cell>
          <cell r="H14">
            <v>0</v>
          </cell>
          <cell r="I14">
            <v>94184.468289111959</v>
          </cell>
          <cell r="J14">
            <v>13851.2</v>
          </cell>
          <cell r="K14">
            <v>0</v>
          </cell>
          <cell r="L14">
            <v>13851.2</v>
          </cell>
          <cell r="M14">
            <v>13851.2</v>
          </cell>
          <cell r="N14">
            <v>13851.2</v>
          </cell>
          <cell r="O14">
            <v>-80333.268289111962</v>
          </cell>
          <cell r="Q14">
            <v>76892.399999999994</v>
          </cell>
        </row>
        <row r="15">
          <cell r="D15" t="str">
            <v>9019585 0070</v>
          </cell>
          <cell r="E15" t="str">
            <v>GEOMETALURGIA</v>
          </cell>
          <cell r="F15">
            <v>39243.329707102697</v>
          </cell>
          <cell r="G15">
            <v>0</v>
          </cell>
          <cell r="H15">
            <v>0</v>
          </cell>
          <cell r="I15">
            <v>39243.329707102697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-39243.329707102697</v>
          </cell>
          <cell r="Q15">
            <v>31993</v>
          </cell>
        </row>
        <row r="16">
          <cell r="D16" t="str">
            <v>9019585 0080</v>
          </cell>
          <cell r="E16" t="str">
            <v>INSUMOS, MATERIALES</v>
          </cell>
          <cell r="F16">
            <v>346534.73557033169</v>
          </cell>
          <cell r="G16">
            <v>0</v>
          </cell>
          <cell r="H16">
            <v>0</v>
          </cell>
          <cell r="I16">
            <v>346534.73557033169</v>
          </cell>
          <cell r="J16">
            <v>124739.29999999999</v>
          </cell>
          <cell r="K16">
            <v>0</v>
          </cell>
          <cell r="L16">
            <v>124739.29999999999</v>
          </cell>
          <cell r="M16">
            <v>124739.29999999999</v>
          </cell>
          <cell r="N16">
            <v>124739.29999999999</v>
          </cell>
          <cell r="O16">
            <v>-221795.4355703317</v>
          </cell>
          <cell r="Q16">
            <v>288952.5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E18" t="str">
            <v>SUBTOTAL</v>
          </cell>
          <cell r="F18">
            <v>5765851.4679835318</v>
          </cell>
          <cell r="G18">
            <v>0</v>
          </cell>
          <cell r="H18">
            <v>0</v>
          </cell>
          <cell r="I18">
            <v>5765851.4679835318</v>
          </cell>
          <cell r="J18">
            <v>5959437.5999999987</v>
          </cell>
          <cell r="K18">
            <v>192000</v>
          </cell>
          <cell r="L18">
            <v>5882437.2999999989</v>
          </cell>
          <cell r="M18">
            <v>5882437.2999999989</v>
          </cell>
          <cell r="N18">
            <v>6151437.5999999987</v>
          </cell>
          <cell r="O18">
            <v>385586.13201646693</v>
          </cell>
          <cell r="Q18">
            <v>4345343.3</v>
          </cell>
        </row>
        <row r="19">
          <cell r="D19" t="str">
            <v>C01</v>
          </cell>
          <cell r="E19" t="str">
            <v>CONTINGENCIA</v>
          </cell>
          <cell r="F19">
            <v>0</v>
          </cell>
          <cell r="H19">
            <v>0</v>
          </cell>
          <cell r="I19">
            <v>0</v>
          </cell>
          <cell r="K19">
            <v>0</v>
          </cell>
          <cell r="N19">
            <v>0</v>
          </cell>
          <cell r="O19">
            <v>0</v>
          </cell>
        </row>
        <row r="20">
          <cell r="D20" t="str">
            <v>C02</v>
          </cell>
          <cell r="E20" t="str">
            <v>CONTINGENCIA</v>
          </cell>
          <cell r="F20">
            <v>0</v>
          </cell>
          <cell r="H20">
            <v>0</v>
          </cell>
          <cell r="I20">
            <v>0</v>
          </cell>
          <cell r="K20">
            <v>0</v>
          </cell>
          <cell r="N20">
            <v>0</v>
          </cell>
          <cell r="O20">
            <v>0</v>
          </cell>
        </row>
        <row r="21">
          <cell r="D21" t="str">
            <v>C03</v>
          </cell>
          <cell r="E21" t="str">
            <v>CONTINGENCIA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N21">
            <v>0</v>
          </cell>
          <cell r="O21">
            <v>0</v>
          </cell>
        </row>
        <row r="22">
          <cell r="E22" t="str">
            <v>CONTINGENCIA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E23" t="str">
            <v>TOTAL</v>
          </cell>
          <cell r="F23">
            <v>5765851.4679835318</v>
          </cell>
          <cell r="G23">
            <v>0</v>
          </cell>
          <cell r="H23">
            <v>0</v>
          </cell>
          <cell r="I23">
            <v>5765851.4679835318</v>
          </cell>
          <cell r="J23">
            <v>5959437.5999999987</v>
          </cell>
          <cell r="K23">
            <v>192000</v>
          </cell>
          <cell r="L23">
            <v>5882437.2999999989</v>
          </cell>
          <cell r="M23">
            <v>5882437.2999999989</v>
          </cell>
          <cell r="N23">
            <v>6151437.5999999987</v>
          </cell>
          <cell r="O23">
            <v>385586.13201646693</v>
          </cell>
        </row>
        <row r="25">
          <cell r="C25" t="str">
            <v>TABLA: RCFACE</v>
          </cell>
          <cell r="F25" t="str">
            <v>ORG</v>
          </cell>
          <cell r="G25" t="str">
            <v>TRAF</v>
          </cell>
          <cell r="H25" t="str">
            <v>OC</v>
          </cell>
          <cell r="I25" t="str">
            <v>EC</v>
          </cell>
          <cell r="J25" t="str">
            <v>COMP</v>
          </cell>
          <cell r="K25" t="str">
            <v>XCOMP</v>
          </cell>
          <cell r="L25" t="str">
            <v>GINC</v>
          </cell>
          <cell r="M25" t="str">
            <v>GREAL</v>
          </cell>
          <cell r="N25" t="str">
            <v>PROY</v>
          </cell>
          <cell r="O25" t="str">
            <v>DIF</v>
          </cell>
        </row>
        <row r="26">
          <cell r="C26" t="str">
            <v>IN</v>
          </cell>
          <cell r="D26">
            <v>0.93989877514282827</v>
          </cell>
          <cell r="F26">
            <v>5419316.7324131997</v>
          </cell>
          <cell r="G26">
            <v>0</v>
          </cell>
          <cell r="H26">
            <v>0</v>
          </cell>
          <cell r="I26">
            <v>5419316.7324131997</v>
          </cell>
          <cell r="J26">
            <v>5834698.2999999989</v>
          </cell>
          <cell r="K26">
            <v>192000</v>
          </cell>
          <cell r="L26">
            <v>5757697.9999999991</v>
          </cell>
          <cell r="M26">
            <v>5757697.9999999991</v>
          </cell>
          <cell r="N26">
            <v>6026698.2999999989</v>
          </cell>
          <cell r="O26">
            <v>607381.56758679927</v>
          </cell>
        </row>
        <row r="27">
          <cell r="C27" t="str">
            <v>AD</v>
          </cell>
          <cell r="D27">
            <v>6.0101224857171683E-2</v>
          </cell>
          <cell r="F27">
            <v>346534.73557033169</v>
          </cell>
          <cell r="G27">
            <v>0</v>
          </cell>
          <cell r="H27">
            <v>0</v>
          </cell>
          <cell r="I27">
            <v>346534.73557033169</v>
          </cell>
          <cell r="J27">
            <v>124739.29999999999</v>
          </cell>
          <cell r="K27">
            <v>0</v>
          </cell>
          <cell r="L27">
            <v>124739.29999999999</v>
          </cell>
          <cell r="M27">
            <v>124739.29999999999</v>
          </cell>
          <cell r="N27">
            <v>124739.29999999999</v>
          </cell>
          <cell r="O27">
            <v>-221795.4355703317</v>
          </cell>
        </row>
        <row r="28">
          <cell r="C28" t="str">
            <v>CO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C29" t="str">
            <v>TO</v>
          </cell>
          <cell r="D29">
            <v>1</v>
          </cell>
          <cell r="F29">
            <v>5765851.4679835318</v>
          </cell>
          <cell r="G29">
            <v>0</v>
          </cell>
          <cell r="H29">
            <v>0</v>
          </cell>
          <cell r="I29">
            <v>5765851.4679835318</v>
          </cell>
          <cell r="J29">
            <v>5959437.5999999987</v>
          </cell>
          <cell r="K29">
            <v>192000</v>
          </cell>
          <cell r="L29">
            <v>5882437.2999999989</v>
          </cell>
          <cell r="M29">
            <v>5882437.2999999989</v>
          </cell>
          <cell r="N29">
            <v>6151437.5999999987</v>
          </cell>
          <cell r="O29">
            <v>385586.13201646757</v>
          </cell>
        </row>
      </sheetData>
      <sheetData sheetId="4">
        <row r="7">
          <cell r="C7" t="str">
            <v>A11</v>
          </cell>
          <cell r="D7" t="str">
            <v>A1</v>
          </cell>
          <cell r="E7">
            <v>0.6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S7">
            <v>0</v>
          </cell>
          <cell r="T7">
            <v>1</v>
          </cell>
          <cell r="U7">
            <v>1</v>
          </cell>
          <cell r="X7" t="str">
            <v>A11</v>
          </cell>
          <cell r="Y7" t="str">
            <v>A1</v>
          </cell>
          <cell r="Z7" t="str">
            <v>Sondajes</v>
          </cell>
        </row>
        <row r="8">
          <cell r="C8" t="str">
            <v>A12</v>
          </cell>
          <cell r="D8" t="str">
            <v>A1</v>
          </cell>
          <cell r="E8">
            <v>0.1</v>
          </cell>
          <cell r="F8">
            <v>0.80099999999999993</v>
          </cell>
          <cell r="G8">
            <v>0</v>
          </cell>
          <cell r="H8">
            <v>0</v>
          </cell>
          <cell r="I8">
            <v>0</v>
          </cell>
          <cell r="J8">
            <v>5.1999999999999998E-2</v>
          </cell>
          <cell r="K8">
            <v>0.14000000000000001</v>
          </cell>
          <cell r="L8">
            <v>7.0000000000000001E-3</v>
          </cell>
          <cell r="M8">
            <v>0</v>
          </cell>
          <cell r="N8">
            <v>0</v>
          </cell>
          <cell r="S8">
            <v>0</v>
          </cell>
          <cell r="T8">
            <v>1</v>
          </cell>
          <cell r="U8">
            <v>0.85299999999999998</v>
          </cell>
          <cell r="X8" t="str">
            <v>A12</v>
          </cell>
          <cell r="Y8" t="str">
            <v>A1</v>
          </cell>
          <cell r="Z8" t="str">
            <v>Determinacion De Leyes</v>
          </cell>
        </row>
        <row r="9">
          <cell r="C9" t="str">
            <v>A13</v>
          </cell>
          <cell r="D9" t="str">
            <v>A1</v>
          </cell>
          <cell r="E9">
            <v>0.05</v>
          </cell>
          <cell r="F9">
            <v>0.83600000000000008</v>
          </cell>
          <cell r="G9">
            <v>0.13400000000000001</v>
          </cell>
          <cell r="H9">
            <v>0.03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S9">
            <v>0</v>
          </cell>
          <cell r="T9">
            <v>1</v>
          </cell>
          <cell r="U9">
            <v>1</v>
          </cell>
          <cell r="X9" t="str">
            <v>A13</v>
          </cell>
          <cell r="Y9" t="str">
            <v>A1</v>
          </cell>
          <cell r="Z9" t="str">
            <v>Caracterizacion Geotecnica</v>
          </cell>
        </row>
        <row r="10">
          <cell r="C10" t="str">
            <v>A14</v>
          </cell>
          <cell r="D10" t="str">
            <v>A1</v>
          </cell>
          <cell r="E10">
            <v>0.2</v>
          </cell>
          <cell r="F10">
            <v>0.76899999999999991</v>
          </cell>
          <cell r="G10">
            <v>2.4E-2</v>
          </cell>
          <cell r="H10">
            <v>1.2999999999999999E-2</v>
          </cell>
          <cell r="I10">
            <v>0.14399999999999999</v>
          </cell>
          <cell r="J10">
            <v>0.05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S10">
            <v>0</v>
          </cell>
          <cell r="T10">
            <v>1</v>
          </cell>
          <cell r="U10">
            <v>1</v>
          </cell>
          <cell r="X10" t="str">
            <v>A14</v>
          </cell>
          <cell r="Y10" t="str">
            <v>A1</v>
          </cell>
          <cell r="Z10" t="str">
            <v>Mapeos Geológicos</v>
          </cell>
        </row>
        <row r="11">
          <cell r="C11" t="str">
            <v>A15</v>
          </cell>
          <cell r="D11" t="str">
            <v>A1</v>
          </cell>
          <cell r="E11">
            <v>0.02</v>
          </cell>
          <cell r="F11">
            <v>0.58599999999999997</v>
          </cell>
          <cell r="G11">
            <v>7.1999999999999995E-2</v>
          </cell>
          <cell r="H11">
            <v>0.04</v>
          </cell>
          <cell r="I11">
            <v>2.1999999999999999E-2</v>
          </cell>
          <cell r="J11">
            <v>0.20399999999999999</v>
          </cell>
          <cell r="K11">
            <v>7.5999999999999998E-2</v>
          </cell>
          <cell r="L11">
            <v>0</v>
          </cell>
          <cell r="M11">
            <v>0</v>
          </cell>
          <cell r="N11">
            <v>0</v>
          </cell>
          <cell r="S11">
            <v>0</v>
          </cell>
          <cell r="T11">
            <v>0.99999999999999989</v>
          </cell>
          <cell r="U11">
            <v>0.92399999999999993</v>
          </cell>
          <cell r="X11" t="str">
            <v>A15</v>
          </cell>
          <cell r="Y11" t="str">
            <v>A1</v>
          </cell>
          <cell r="Z11" t="str">
            <v>Petrocalcografia</v>
          </cell>
        </row>
        <row r="12">
          <cell r="C12" t="str">
            <v>A16</v>
          </cell>
          <cell r="D12" t="str">
            <v>A1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0.02</v>
          </cell>
          <cell r="J12">
            <v>1.9E-2</v>
          </cell>
          <cell r="K12">
            <v>0.189</v>
          </cell>
          <cell r="L12">
            <v>0.45800000000000002</v>
          </cell>
          <cell r="M12">
            <v>0.16800000000000001</v>
          </cell>
          <cell r="N12">
            <v>0.14599999999999999</v>
          </cell>
          <cell r="S12">
            <v>0</v>
          </cell>
          <cell r="T12">
            <v>1</v>
          </cell>
          <cell r="U12">
            <v>3.9E-2</v>
          </cell>
          <cell r="X12" t="str">
            <v>A16</v>
          </cell>
          <cell r="Y12" t="str">
            <v>A1</v>
          </cell>
          <cell r="Z12" t="str">
            <v>Pruebas Metalurgicas</v>
          </cell>
        </row>
        <row r="13">
          <cell r="C13" t="str">
            <v>A21</v>
          </cell>
          <cell r="D13" t="str">
            <v>A2</v>
          </cell>
          <cell r="E13">
            <v>0.4</v>
          </cell>
          <cell r="F13">
            <v>0.1</v>
          </cell>
          <cell r="G13">
            <v>4.1000000000000002E-2</v>
          </cell>
          <cell r="H13">
            <v>0.20599999999999999</v>
          </cell>
          <cell r="I13">
            <v>0.47399999999999998</v>
          </cell>
          <cell r="J13">
            <v>0.151</v>
          </cell>
          <cell r="K13">
            <v>2.8000000000000001E-2</v>
          </cell>
          <cell r="M13">
            <v>0</v>
          </cell>
          <cell r="N13">
            <v>0</v>
          </cell>
          <cell r="S13">
            <v>0</v>
          </cell>
          <cell r="T13">
            <v>1</v>
          </cell>
          <cell r="U13">
            <v>0.97199999999999998</v>
          </cell>
          <cell r="X13" t="str">
            <v>A21</v>
          </cell>
          <cell r="Y13" t="str">
            <v>A2</v>
          </cell>
          <cell r="Z13" t="str">
            <v>Secciones Y Plantas Geológicas</v>
          </cell>
        </row>
        <row r="14">
          <cell r="C14" t="str">
            <v>A22</v>
          </cell>
          <cell r="D14" t="str">
            <v>A2</v>
          </cell>
          <cell r="E14">
            <v>0.6</v>
          </cell>
          <cell r="F14">
            <v>0</v>
          </cell>
          <cell r="G14">
            <v>0</v>
          </cell>
          <cell r="H14">
            <v>0</v>
          </cell>
          <cell r="I14">
            <v>0.17499999999999999</v>
          </cell>
          <cell r="J14">
            <v>0.20200000000000001</v>
          </cell>
          <cell r="K14">
            <v>0.26400000000000001</v>
          </cell>
          <cell r="L14">
            <v>0.25900000000000001</v>
          </cell>
          <cell r="M14">
            <v>0.1</v>
          </cell>
          <cell r="N14">
            <v>0</v>
          </cell>
          <cell r="S14">
            <v>0</v>
          </cell>
          <cell r="T14">
            <v>1</v>
          </cell>
          <cell r="U14">
            <v>0.377</v>
          </cell>
          <cell r="X14" t="str">
            <v>A22</v>
          </cell>
          <cell r="Y14" t="str">
            <v>A2</v>
          </cell>
          <cell r="Z14" t="str">
            <v>Desarrollo De Modelamiento</v>
          </cell>
        </row>
        <row r="15">
          <cell r="C15" t="str">
            <v>A31</v>
          </cell>
          <cell r="D15" t="str">
            <v>A3</v>
          </cell>
          <cell r="E15">
            <v>0.16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0.67200000000000004</v>
          </cell>
          <cell r="K15">
            <v>0.32800000000000001</v>
          </cell>
          <cell r="L15">
            <v>0</v>
          </cell>
          <cell r="M15">
            <v>0</v>
          </cell>
          <cell r="N15">
            <v>0</v>
          </cell>
          <cell r="S15">
            <v>0</v>
          </cell>
          <cell r="T15">
            <v>1</v>
          </cell>
          <cell r="U15">
            <v>0.67200000000000004</v>
          </cell>
          <cell r="X15" t="str">
            <v>A31</v>
          </cell>
          <cell r="Y15" t="str">
            <v>A3</v>
          </cell>
          <cell r="Z15" t="str">
            <v>Validación De Datos</v>
          </cell>
        </row>
        <row r="16">
          <cell r="C16" t="str">
            <v>A32</v>
          </cell>
          <cell r="D16" t="str">
            <v>A3</v>
          </cell>
          <cell r="E16">
            <v>0.16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S16">
            <v>0</v>
          </cell>
          <cell r="T16">
            <v>1</v>
          </cell>
          <cell r="U16">
            <v>0</v>
          </cell>
          <cell r="X16" t="str">
            <v>A32</v>
          </cell>
          <cell r="Y16" t="str">
            <v>A3</v>
          </cell>
          <cell r="Z16" t="str">
            <v>Análisis Estadísticos</v>
          </cell>
        </row>
        <row r="17">
          <cell r="C17" t="str">
            <v>A33</v>
          </cell>
          <cell r="D17" t="str">
            <v>A3</v>
          </cell>
          <cell r="E17">
            <v>0.16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0.8</v>
          </cell>
          <cell r="L17">
            <v>0</v>
          </cell>
          <cell r="M17">
            <v>0.2</v>
          </cell>
          <cell r="N17">
            <v>0</v>
          </cell>
          <cell r="S17">
            <v>0</v>
          </cell>
          <cell r="T17">
            <v>1</v>
          </cell>
          <cell r="U17">
            <v>0</v>
          </cell>
          <cell r="X17" t="str">
            <v>A33</v>
          </cell>
          <cell r="Y17" t="str">
            <v>A3</v>
          </cell>
          <cell r="Z17" t="str">
            <v>Metodo De Estimación</v>
          </cell>
        </row>
        <row r="18">
          <cell r="C18" t="str">
            <v>A34</v>
          </cell>
          <cell r="D18" t="str">
            <v>A3</v>
          </cell>
          <cell r="E18">
            <v>0.16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S18">
            <v>0</v>
          </cell>
          <cell r="T18">
            <v>1</v>
          </cell>
          <cell r="U18">
            <v>0</v>
          </cell>
          <cell r="X18" t="str">
            <v>A34</v>
          </cell>
          <cell r="Y18" t="str">
            <v>A3</v>
          </cell>
          <cell r="Z18" t="str">
            <v>Modelo De Bloques</v>
          </cell>
        </row>
        <row r="19">
          <cell r="C19" t="str">
            <v>A35</v>
          </cell>
          <cell r="D19" t="str">
            <v>A3</v>
          </cell>
          <cell r="E19">
            <v>0.16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0.35099999999999998</v>
          </cell>
          <cell r="N19">
            <v>0.64900000000000002</v>
          </cell>
          <cell r="S19">
            <v>0</v>
          </cell>
          <cell r="T19">
            <v>1</v>
          </cell>
          <cell r="U19">
            <v>0</v>
          </cell>
          <cell r="X19" t="str">
            <v>A35</v>
          </cell>
          <cell r="Y19" t="str">
            <v>A3</v>
          </cell>
          <cell r="Z19" t="str">
            <v>Estimación De Leyes De Bloques</v>
          </cell>
        </row>
        <row r="20">
          <cell r="C20" t="str">
            <v>A36</v>
          </cell>
          <cell r="D20" t="str">
            <v>A3</v>
          </cell>
          <cell r="E20">
            <v>0.2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</v>
          </cell>
          <cell r="S20">
            <v>0</v>
          </cell>
          <cell r="T20">
            <v>1</v>
          </cell>
          <cell r="U20">
            <v>0</v>
          </cell>
          <cell r="X20" t="str">
            <v>A36</v>
          </cell>
          <cell r="Y20" t="str">
            <v>A3</v>
          </cell>
          <cell r="Z20" t="str">
            <v>Categorización De Recursos</v>
          </cell>
        </row>
        <row r="23">
          <cell r="D23" t="str">
            <v>A1</v>
          </cell>
          <cell r="E23">
            <v>0.8</v>
          </cell>
          <cell r="F23">
            <v>0.88741999999999988</v>
          </cell>
          <cell r="G23">
            <v>1.2940000000000002E-2</v>
          </cell>
          <cell r="H23">
            <v>4.8999999999999998E-3</v>
          </cell>
          <cell r="I23">
            <v>2.9839999999999998E-2</v>
          </cell>
          <cell r="J23">
            <v>1.9850000000000003E-2</v>
          </cell>
          <cell r="K23">
            <v>2.1190000000000001E-2</v>
          </cell>
          <cell r="L23">
            <v>1.4440000000000001E-2</v>
          </cell>
          <cell r="M23">
            <v>5.0400000000000002E-3</v>
          </cell>
          <cell r="N23">
            <v>4.3799999999999993E-3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</v>
          </cell>
          <cell r="U23">
            <v>0.95495000000000008</v>
          </cell>
        </row>
        <row r="24">
          <cell r="D24" t="str">
            <v>A2</v>
          </cell>
          <cell r="E24">
            <v>0.15</v>
          </cell>
          <cell r="F24">
            <v>4.0000000000000008E-2</v>
          </cell>
          <cell r="G24">
            <v>1.6400000000000001E-2</v>
          </cell>
          <cell r="H24">
            <v>8.2400000000000001E-2</v>
          </cell>
          <cell r="I24">
            <v>0.29459999999999997</v>
          </cell>
          <cell r="J24">
            <v>0.18160000000000001</v>
          </cell>
          <cell r="K24">
            <v>0.16960000000000003</v>
          </cell>
          <cell r="L24">
            <v>0.15540000000000001</v>
          </cell>
          <cell r="M24">
            <v>0.06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  <cell r="U24">
            <v>0.61499999999999999</v>
          </cell>
        </row>
        <row r="25">
          <cell r="D25" t="str">
            <v>A3</v>
          </cell>
          <cell r="E25">
            <v>0.05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0.10752</v>
          </cell>
          <cell r="K25">
            <v>0.34048</v>
          </cell>
          <cell r="L25">
            <v>0</v>
          </cell>
          <cell r="M25">
            <v>0.24815999999999999</v>
          </cell>
          <cell r="N25">
            <v>0.30384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</v>
          </cell>
          <cell r="U25">
            <v>0.10752</v>
          </cell>
        </row>
        <row r="27">
          <cell r="D27" t="str">
            <v>TO</v>
          </cell>
          <cell r="E27">
            <v>1</v>
          </cell>
          <cell r="F27">
            <v>0.71593599999999991</v>
          </cell>
          <cell r="G27">
            <v>1.2812000000000002E-2</v>
          </cell>
          <cell r="H27">
            <v>1.6279999999999999E-2</v>
          </cell>
          <cell r="I27">
            <v>6.8061999999999998E-2</v>
          </cell>
          <cell r="J27">
            <v>4.8496000000000004E-2</v>
          </cell>
          <cell r="K27">
            <v>5.941600000000001E-2</v>
          </cell>
          <cell r="L27">
            <v>3.4862000000000004E-2</v>
          </cell>
          <cell r="M27">
            <v>2.5439999999999997E-2</v>
          </cell>
          <cell r="N27">
            <v>1.8696000000000001E-2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</v>
          </cell>
          <cell r="U27">
            <v>0.86158600000000019</v>
          </cell>
        </row>
        <row r="32">
          <cell r="C32" t="str">
            <v>ACT</v>
          </cell>
          <cell r="D32" t="str">
            <v>FASE</v>
          </cell>
          <cell r="E32" t="str">
            <v>W</v>
          </cell>
          <cell r="F32">
            <v>37986</v>
          </cell>
          <cell r="G32">
            <v>37987</v>
          </cell>
          <cell r="H32">
            <v>38018</v>
          </cell>
          <cell r="I32">
            <v>38047</v>
          </cell>
          <cell r="J32">
            <v>38078</v>
          </cell>
          <cell r="K32">
            <v>38108</v>
          </cell>
          <cell r="L32">
            <v>38139</v>
          </cell>
          <cell r="M32">
            <v>38169</v>
          </cell>
          <cell r="N32">
            <v>38200</v>
          </cell>
          <cell r="O32">
            <v>38231</v>
          </cell>
          <cell r="P32">
            <v>38261</v>
          </cell>
          <cell r="Q32">
            <v>38292</v>
          </cell>
          <cell r="R32">
            <v>38322</v>
          </cell>
          <cell r="S32">
            <v>38353</v>
          </cell>
          <cell r="T32" t="str">
            <v>TOTAL</v>
          </cell>
          <cell r="U32" t="str">
            <v>MESCON</v>
          </cell>
        </row>
        <row r="33">
          <cell r="C33" t="str">
            <v>A11</v>
          </cell>
          <cell r="D33" t="str">
            <v>A1</v>
          </cell>
          <cell r="E33">
            <v>0.7</v>
          </cell>
          <cell r="F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S33">
            <v>0</v>
          </cell>
          <cell r="T33">
            <v>1</v>
          </cell>
          <cell r="U33">
            <v>1</v>
          </cell>
        </row>
        <row r="34">
          <cell r="C34" t="str">
            <v>A12</v>
          </cell>
          <cell r="D34" t="str">
            <v>A1</v>
          </cell>
          <cell r="E34">
            <v>0.05</v>
          </cell>
          <cell r="F34">
            <v>0.80099999999999993</v>
          </cell>
          <cell r="G34">
            <v>0</v>
          </cell>
          <cell r="H34">
            <v>0</v>
          </cell>
          <cell r="I34">
            <v>0</v>
          </cell>
          <cell r="J34">
            <v>5.1999999999999998E-2</v>
          </cell>
          <cell r="K34">
            <v>0.14000000000000001</v>
          </cell>
          <cell r="L34">
            <v>7.0000000000000001E-3</v>
          </cell>
          <cell r="M34">
            <v>0</v>
          </cell>
          <cell r="N34">
            <v>0</v>
          </cell>
          <cell r="S34">
            <v>0</v>
          </cell>
          <cell r="T34">
            <v>1</v>
          </cell>
          <cell r="U34">
            <v>0.85299999999999998</v>
          </cell>
        </row>
        <row r="35">
          <cell r="C35" t="str">
            <v>A13</v>
          </cell>
          <cell r="D35" t="str">
            <v>A1</v>
          </cell>
          <cell r="E35">
            <v>0.05</v>
          </cell>
          <cell r="F35">
            <v>0.83600000000000008</v>
          </cell>
          <cell r="G35">
            <v>0.13400000000000001</v>
          </cell>
          <cell r="H35">
            <v>0.03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S35">
            <v>0</v>
          </cell>
          <cell r="T35">
            <v>1</v>
          </cell>
          <cell r="U35">
            <v>1</v>
          </cell>
        </row>
        <row r="36">
          <cell r="C36" t="str">
            <v>A14</v>
          </cell>
          <cell r="D36" t="str">
            <v>A1</v>
          </cell>
          <cell r="E36">
            <v>0.1</v>
          </cell>
          <cell r="F36">
            <v>0.76899999999999991</v>
          </cell>
          <cell r="G36">
            <v>2.4E-2</v>
          </cell>
          <cell r="H36">
            <v>1.2999999999999999E-2</v>
          </cell>
          <cell r="I36">
            <v>0.14399999999999999</v>
          </cell>
          <cell r="J36">
            <v>0.05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S36">
            <v>0</v>
          </cell>
          <cell r="T36">
            <v>1</v>
          </cell>
          <cell r="U36">
            <v>1</v>
          </cell>
        </row>
        <row r="37">
          <cell r="C37" t="str">
            <v>A15</v>
          </cell>
          <cell r="D37" t="str">
            <v>A1</v>
          </cell>
          <cell r="E37">
            <v>0.05</v>
          </cell>
          <cell r="F37">
            <v>0.58599999999999997</v>
          </cell>
          <cell r="G37">
            <v>7.1999999999999995E-2</v>
          </cell>
          <cell r="H37">
            <v>0.04</v>
          </cell>
          <cell r="I37">
            <v>2.1999999999999999E-2</v>
          </cell>
          <cell r="J37">
            <v>0.20399999999999999</v>
          </cell>
          <cell r="K37">
            <v>7.5999999999999998E-2</v>
          </cell>
          <cell r="L37">
            <v>0</v>
          </cell>
          <cell r="M37">
            <v>0</v>
          </cell>
          <cell r="N37">
            <v>0</v>
          </cell>
          <cell r="S37">
            <v>0</v>
          </cell>
          <cell r="T37">
            <v>0.99999999999999989</v>
          </cell>
          <cell r="U37">
            <v>0.92399999999999993</v>
          </cell>
        </row>
        <row r="38">
          <cell r="C38" t="str">
            <v>A16</v>
          </cell>
          <cell r="D38" t="str">
            <v>A1</v>
          </cell>
          <cell r="E38">
            <v>0.05</v>
          </cell>
          <cell r="F38">
            <v>0</v>
          </cell>
          <cell r="G38">
            <v>0</v>
          </cell>
          <cell r="H38">
            <v>0</v>
          </cell>
          <cell r="I38">
            <v>0.02</v>
          </cell>
          <cell r="J38">
            <v>1.9E-2</v>
          </cell>
          <cell r="K38">
            <v>0.189</v>
          </cell>
          <cell r="L38">
            <v>0.45800000000000002</v>
          </cell>
          <cell r="M38">
            <v>0.16800000000000001</v>
          </cell>
          <cell r="N38">
            <v>0.14599999999999999</v>
          </cell>
          <cell r="S38">
            <v>0</v>
          </cell>
          <cell r="T38">
            <v>1</v>
          </cell>
          <cell r="U38">
            <v>3.9E-2</v>
          </cell>
        </row>
        <row r="39">
          <cell r="C39" t="str">
            <v>A21</v>
          </cell>
          <cell r="D39" t="str">
            <v>A2</v>
          </cell>
          <cell r="E39">
            <v>0.6</v>
          </cell>
          <cell r="F39">
            <v>0.1</v>
          </cell>
          <cell r="G39">
            <v>4.1000000000000002E-2</v>
          </cell>
          <cell r="H39">
            <v>0.20599999999999999</v>
          </cell>
          <cell r="I39">
            <v>0.47399999999999998</v>
          </cell>
          <cell r="J39">
            <v>0.10569999999999999</v>
          </cell>
          <cell r="K39">
            <v>4.5300000000000007E-2</v>
          </cell>
          <cell r="L39">
            <v>2.8000000000000001E-2</v>
          </cell>
          <cell r="M39">
            <v>0</v>
          </cell>
          <cell r="N39">
            <v>0</v>
          </cell>
          <cell r="S39">
            <v>0</v>
          </cell>
          <cell r="T39">
            <v>1</v>
          </cell>
          <cell r="U39">
            <v>0.92669999999999997</v>
          </cell>
        </row>
        <row r="40">
          <cell r="C40" t="str">
            <v>A22</v>
          </cell>
          <cell r="D40" t="str">
            <v>A2</v>
          </cell>
          <cell r="E40">
            <v>0.4</v>
          </cell>
          <cell r="F40">
            <v>0</v>
          </cell>
          <cell r="G40">
            <v>0</v>
          </cell>
          <cell r="H40">
            <v>0</v>
          </cell>
          <cell r="I40">
            <v>0.17499999999999999</v>
          </cell>
          <cell r="J40">
            <v>0.20200000000000001</v>
          </cell>
          <cell r="K40">
            <v>0.26400000000000001</v>
          </cell>
          <cell r="L40">
            <v>0.25900000000000001</v>
          </cell>
          <cell r="M40">
            <v>0.1</v>
          </cell>
          <cell r="N40">
            <v>0</v>
          </cell>
          <cell r="S40">
            <v>0</v>
          </cell>
          <cell r="T40">
            <v>1</v>
          </cell>
          <cell r="U40">
            <v>0.377</v>
          </cell>
        </row>
        <row r="41">
          <cell r="C41" t="str">
            <v>A31</v>
          </cell>
          <cell r="D41" t="str">
            <v>A3</v>
          </cell>
          <cell r="E41">
            <v>0.1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0.67200000000000004</v>
          </cell>
          <cell r="K41">
            <v>0.32800000000000001</v>
          </cell>
          <cell r="L41">
            <v>0</v>
          </cell>
          <cell r="M41">
            <v>0</v>
          </cell>
          <cell r="N41">
            <v>0</v>
          </cell>
          <cell r="S41">
            <v>0</v>
          </cell>
          <cell r="T41">
            <v>1</v>
          </cell>
          <cell r="U41">
            <v>0.67200000000000004</v>
          </cell>
        </row>
        <row r="42">
          <cell r="C42" t="str">
            <v>A32</v>
          </cell>
          <cell r="D42" t="str">
            <v>A3</v>
          </cell>
          <cell r="E42">
            <v>0.05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0.2</v>
          </cell>
          <cell r="L42">
            <v>0.3</v>
          </cell>
          <cell r="M42">
            <v>0.5</v>
          </cell>
          <cell r="N42">
            <v>0</v>
          </cell>
          <cell r="S42">
            <v>0</v>
          </cell>
          <cell r="T42">
            <v>1</v>
          </cell>
          <cell r="U42">
            <v>0</v>
          </cell>
        </row>
        <row r="43">
          <cell r="C43" t="str">
            <v>A33</v>
          </cell>
          <cell r="D43" t="str">
            <v>A3</v>
          </cell>
          <cell r="E43">
            <v>0.1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0.4</v>
          </cell>
          <cell r="L43">
            <v>0.4</v>
          </cell>
          <cell r="M43">
            <v>0.2</v>
          </cell>
          <cell r="N43">
            <v>0</v>
          </cell>
          <cell r="S43">
            <v>0</v>
          </cell>
          <cell r="T43">
            <v>1</v>
          </cell>
          <cell r="U43">
            <v>0</v>
          </cell>
        </row>
        <row r="44">
          <cell r="C44" t="str">
            <v>A34</v>
          </cell>
          <cell r="D44" t="str">
            <v>A3</v>
          </cell>
          <cell r="E44">
            <v>0.1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</v>
          </cell>
          <cell r="N44">
            <v>0</v>
          </cell>
          <cell r="S44">
            <v>0</v>
          </cell>
          <cell r="T44">
            <v>1</v>
          </cell>
          <cell r="U44">
            <v>0</v>
          </cell>
        </row>
        <row r="45">
          <cell r="C45" t="str">
            <v>A35</v>
          </cell>
          <cell r="D45" t="str">
            <v>A3</v>
          </cell>
          <cell r="E45">
            <v>0.35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0.35099999999999998</v>
          </cell>
          <cell r="N45">
            <v>0.64900000000000002</v>
          </cell>
          <cell r="S45">
            <v>0</v>
          </cell>
          <cell r="T45">
            <v>1</v>
          </cell>
          <cell r="U45">
            <v>0</v>
          </cell>
        </row>
        <row r="46">
          <cell r="C46" t="str">
            <v>A36</v>
          </cell>
          <cell r="D46" t="str">
            <v>A3</v>
          </cell>
          <cell r="E46">
            <v>0.3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1</v>
          </cell>
          <cell r="S46">
            <v>0</v>
          </cell>
          <cell r="T46">
            <v>1</v>
          </cell>
          <cell r="U46">
            <v>0</v>
          </cell>
        </row>
        <row r="49">
          <cell r="D49" t="str">
            <v>A1</v>
          </cell>
          <cell r="E49">
            <v>0.8</v>
          </cell>
          <cell r="F49">
            <v>0.88741999999999988</v>
          </cell>
          <cell r="G49">
            <v>1.2940000000000002E-2</v>
          </cell>
          <cell r="H49">
            <v>4.8999999999999998E-3</v>
          </cell>
          <cell r="I49">
            <v>2.9839999999999998E-2</v>
          </cell>
          <cell r="J49">
            <v>1.9850000000000003E-2</v>
          </cell>
          <cell r="K49">
            <v>2.1190000000000001E-2</v>
          </cell>
          <cell r="L49">
            <v>1.4440000000000001E-2</v>
          </cell>
          <cell r="M49">
            <v>5.0400000000000002E-3</v>
          </cell>
          <cell r="N49">
            <v>4.3799999999999993E-3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</v>
          </cell>
          <cell r="U49">
            <v>0.95495000000000008</v>
          </cell>
        </row>
        <row r="50">
          <cell r="D50" t="str">
            <v>A2</v>
          </cell>
          <cell r="E50">
            <v>0.15</v>
          </cell>
          <cell r="F50">
            <v>4.0000000000000008E-2</v>
          </cell>
          <cell r="G50">
            <v>1.6400000000000001E-2</v>
          </cell>
          <cell r="H50">
            <v>8.2400000000000001E-2</v>
          </cell>
          <cell r="I50">
            <v>0.29459999999999997</v>
          </cell>
          <cell r="J50">
            <v>0.16348000000000001</v>
          </cell>
          <cell r="K50">
            <v>0.17652000000000001</v>
          </cell>
          <cell r="L50">
            <v>0.16660000000000003</v>
          </cell>
          <cell r="M50">
            <v>0.06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</v>
          </cell>
          <cell r="U50">
            <v>0.59687999999999997</v>
          </cell>
        </row>
        <row r="51">
          <cell r="D51" t="str">
            <v>A3</v>
          </cell>
          <cell r="E51">
            <v>0.05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0.10752</v>
          </cell>
          <cell r="K51">
            <v>0.14848</v>
          </cell>
          <cell r="L51">
            <v>0.112</v>
          </cell>
          <cell r="M51">
            <v>0.32816000000000001</v>
          </cell>
          <cell r="N51">
            <v>0.30384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1</v>
          </cell>
          <cell r="U51">
            <v>0.10752</v>
          </cell>
        </row>
        <row r="53">
          <cell r="D53" t="str">
            <v>TO</v>
          </cell>
          <cell r="E53">
            <v>1</v>
          </cell>
          <cell r="F53">
            <v>0.71593599999999991</v>
          </cell>
          <cell r="G53">
            <v>1.2812000000000002E-2</v>
          </cell>
          <cell r="H53">
            <v>1.6279999999999999E-2</v>
          </cell>
          <cell r="I53">
            <v>6.8061999999999998E-2</v>
          </cell>
          <cell r="J53">
            <v>4.5778000000000006E-2</v>
          </cell>
          <cell r="K53">
            <v>5.0854000000000003E-2</v>
          </cell>
          <cell r="L53">
            <v>4.2142000000000006E-2</v>
          </cell>
          <cell r="M53">
            <v>2.9440000000000001E-2</v>
          </cell>
          <cell r="N53">
            <v>1.8696000000000001E-2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1</v>
          </cell>
          <cell r="U53">
            <v>0.85886800000000008</v>
          </cell>
        </row>
      </sheetData>
      <sheetData sheetId="5">
        <row r="6">
          <cell r="D6" t="str">
            <v>FASE</v>
          </cell>
          <cell r="E6" t="str">
            <v>FA</v>
          </cell>
          <cell r="F6">
            <v>37256</v>
          </cell>
          <cell r="G6">
            <v>37257</v>
          </cell>
          <cell r="H6">
            <v>37288</v>
          </cell>
          <cell r="I6">
            <v>37316</v>
          </cell>
          <cell r="J6">
            <v>37347</v>
          </cell>
          <cell r="K6">
            <v>37377</v>
          </cell>
          <cell r="L6">
            <v>37408</v>
          </cell>
          <cell r="M6">
            <v>37438</v>
          </cell>
          <cell r="N6">
            <v>37469</v>
          </cell>
          <cell r="O6">
            <v>37500</v>
          </cell>
          <cell r="P6">
            <v>37530</v>
          </cell>
          <cell r="Q6">
            <v>37561</v>
          </cell>
          <cell r="R6">
            <v>37591</v>
          </cell>
          <cell r="S6">
            <v>37622</v>
          </cell>
          <cell r="T6" t="str">
            <v>TOTAL</v>
          </cell>
          <cell r="U6" t="str">
            <v>MESCON</v>
          </cell>
          <cell r="V6" t="str">
            <v>PERIODO</v>
          </cell>
        </row>
        <row r="7">
          <cell r="C7" t="str">
            <v>IN-N</v>
          </cell>
          <cell r="D7" t="str">
            <v>IN</v>
          </cell>
          <cell r="E7" t="str">
            <v>N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69011</v>
          </cell>
          <cell r="K7">
            <v>91845</v>
          </cell>
          <cell r="L7">
            <v>236272</v>
          </cell>
          <cell r="M7">
            <v>290729</v>
          </cell>
          <cell r="N7">
            <v>256857</v>
          </cell>
          <cell r="O7">
            <v>256857</v>
          </cell>
          <cell r="P7">
            <v>256857</v>
          </cell>
          <cell r="Q7">
            <v>256857</v>
          </cell>
          <cell r="R7">
            <v>261855</v>
          </cell>
          <cell r="S7">
            <v>3105029.3000000012</v>
          </cell>
          <cell r="T7">
            <v>5082169.3000000007</v>
          </cell>
          <cell r="U7">
            <v>1977140</v>
          </cell>
          <cell r="V7">
            <v>1977140</v>
          </cell>
        </row>
        <row r="8">
          <cell r="C8" t="str">
            <v>IN-E</v>
          </cell>
          <cell r="D8" t="str">
            <v>IN</v>
          </cell>
          <cell r="E8" t="str">
            <v>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C9" t="str">
            <v>AD-N</v>
          </cell>
          <cell r="D9" t="str">
            <v>AD</v>
          </cell>
          <cell r="E9" t="str">
            <v>N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19825</v>
          </cell>
          <cell r="K9">
            <v>19825</v>
          </cell>
          <cell r="L9">
            <v>19825</v>
          </cell>
          <cell r="M9">
            <v>19825</v>
          </cell>
          <cell r="N9">
            <v>19825</v>
          </cell>
          <cell r="O9">
            <v>19825</v>
          </cell>
          <cell r="P9">
            <v>19825</v>
          </cell>
          <cell r="Q9">
            <v>19825</v>
          </cell>
          <cell r="R9">
            <v>19583</v>
          </cell>
          <cell r="S9">
            <v>113969.5</v>
          </cell>
          <cell r="T9">
            <v>292152.5</v>
          </cell>
          <cell r="U9">
            <v>178183</v>
          </cell>
          <cell r="V9">
            <v>178183</v>
          </cell>
        </row>
        <row r="10">
          <cell r="C10" t="str">
            <v>AD-E</v>
          </cell>
          <cell r="D10" t="str">
            <v>AD</v>
          </cell>
          <cell r="E10" t="str">
            <v>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C11" t="str">
            <v>CO-N</v>
          </cell>
          <cell r="D11" t="str">
            <v>CO</v>
          </cell>
          <cell r="E11" t="str">
            <v>N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C12" t="str">
            <v>CO-E</v>
          </cell>
          <cell r="D12" t="str">
            <v>CO</v>
          </cell>
          <cell r="E12" t="str">
            <v>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4">
          <cell r="D14" t="str">
            <v>IN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69011</v>
          </cell>
          <cell r="K14">
            <v>91845</v>
          </cell>
          <cell r="L14">
            <v>236272</v>
          </cell>
          <cell r="M14">
            <v>290729</v>
          </cell>
          <cell r="N14">
            <v>256857</v>
          </cell>
          <cell r="O14">
            <v>256857</v>
          </cell>
          <cell r="P14">
            <v>256857</v>
          </cell>
          <cell r="Q14">
            <v>256857</v>
          </cell>
          <cell r="R14">
            <v>261855</v>
          </cell>
          <cell r="S14">
            <v>3105029.3000000012</v>
          </cell>
          <cell r="T14">
            <v>5082169.3000000007</v>
          </cell>
          <cell r="U14">
            <v>1977140</v>
          </cell>
          <cell r="V14">
            <v>1977140</v>
          </cell>
        </row>
        <row r="15">
          <cell r="D15" t="str">
            <v>AD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19825</v>
          </cell>
          <cell r="K15">
            <v>19825</v>
          </cell>
          <cell r="L15">
            <v>19825</v>
          </cell>
          <cell r="M15">
            <v>19825</v>
          </cell>
          <cell r="N15">
            <v>19825</v>
          </cell>
          <cell r="O15">
            <v>19825</v>
          </cell>
          <cell r="P15">
            <v>19825</v>
          </cell>
          <cell r="Q15">
            <v>19825</v>
          </cell>
          <cell r="R15">
            <v>19583</v>
          </cell>
          <cell r="S15">
            <v>113969.5</v>
          </cell>
          <cell r="T15">
            <v>292152.5</v>
          </cell>
          <cell r="U15">
            <v>178183</v>
          </cell>
          <cell r="V15">
            <v>178183</v>
          </cell>
        </row>
        <row r="16">
          <cell r="D16" t="str">
            <v>CO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D17" t="str">
            <v>TO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88836</v>
          </cell>
          <cell r="K17">
            <v>111670</v>
          </cell>
          <cell r="L17">
            <v>256097</v>
          </cell>
          <cell r="M17">
            <v>310554</v>
          </cell>
          <cell r="N17">
            <v>276682</v>
          </cell>
          <cell r="O17">
            <v>276682</v>
          </cell>
          <cell r="P17">
            <v>276682</v>
          </cell>
          <cell r="Q17">
            <v>276682</v>
          </cell>
          <cell r="R17">
            <v>281438</v>
          </cell>
          <cell r="S17">
            <v>3218998.8000000012</v>
          </cell>
          <cell r="T17">
            <v>5374321.8000000007</v>
          </cell>
          <cell r="U17">
            <v>2155323</v>
          </cell>
          <cell r="V17">
            <v>2155323</v>
          </cell>
        </row>
        <row r="32">
          <cell r="D32" t="str">
            <v>IN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82105.700000000012</v>
          </cell>
          <cell r="N32">
            <v>160419.7999999985</v>
          </cell>
          <cell r="O32">
            <v>186339.6</v>
          </cell>
          <cell r="P32">
            <v>63492.1</v>
          </cell>
          <cell r="Q32">
            <v>458307.2</v>
          </cell>
          <cell r="R32">
            <v>376201.30000000005</v>
          </cell>
          <cell r="S32">
            <v>4699832.5999999996</v>
          </cell>
          <cell r="T32">
            <v>6026698.299999998</v>
          </cell>
          <cell r="U32">
            <v>1326865.6999999986</v>
          </cell>
          <cell r="V32">
            <v>1326865.6999999986</v>
          </cell>
        </row>
        <row r="33">
          <cell r="D33" t="str">
            <v>AD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7347</v>
          </cell>
          <cell r="O33">
            <v>5109.3999999999996</v>
          </cell>
          <cell r="P33">
            <v>7679.8</v>
          </cell>
          <cell r="Q33">
            <v>6719.4</v>
          </cell>
          <cell r="R33">
            <v>3021.4</v>
          </cell>
          <cell r="S33">
            <v>94862.299999999988</v>
          </cell>
          <cell r="T33">
            <v>124739.29999999999</v>
          </cell>
          <cell r="U33">
            <v>29877</v>
          </cell>
          <cell r="V33">
            <v>29877</v>
          </cell>
        </row>
        <row r="34">
          <cell r="D34" t="str">
            <v>CO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D35" t="str">
            <v>TO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82105.700000000012</v>
          </cell>
          <cell r="N35">
            <v>167766.7999999985</v>
          </cell>
          <cell r="O35">
            <v>191449</v>
          </cell>
          <cell r="P35">
            <v>71171.899999999994</v>
          </cell>
          <cell r="Q35">
            <v>465026.60000000003</v>
          </cell>
          <cell r="R35">
            <v>379222.70000000007</v>
          </cell>
          <cell r="S35">
            <v>4794694.8999999994</v>
          </cell>
          <cell r="T35">
            <v>6151437.5999999978</v>
          </cell>
          <cell r="U35">
            <v>1356742.6999999986</v>
          </cell>
          <cell r="V35">
            <v>1356742.6999999986</v>
          </cell>
        </row>
        <row r="38">
          <cell r="C38" t="str">
            <v>IN-N</v>
          </cell>
          <cell r="D38" t="str">
            <v>IN</v>
          </cell>
          <cell r="E38" t="str">
            <v>N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67952.600000000006</v>
          </cell>
          <cell r="N38">
            <v>132136.06000000029</v>
          </cell>
          <cell r="O38">
            <v>149524.85</v>
          </cell>
          <cell r="P38">
            <v>50329.64</v>
          </cell>
          <cell r="Q38">
            <v>379779.81</v>
          </cell>
          <cell r="R38">
            <v>313696.33</v>
          </cell>
          <cell r="S38">
            <v>3682324.2799999993</v>
          </cell>
          <cell r="T38">
            <v>4775743.5699999994</v>
          </cell>
          <cell r="U38">
            <v>1093419.2900000003</v>
          </cell>
          <cell r="V38">
            <v>1093419.2900000003</v>
          </cell>
        </row>
        <row r="39">
          <cell r="C39" t="str">
            <v>IN-E</v>
          </cell>
          <cell r="D39" t="str">
            <v>IN</v>
          </cell>
          <cell r="E39" t="str">
            <v>E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C40" t="str">
            <v>AD-N</v>
          </cell>
          <cell r="D40" t="str">
            <v>AD</v>
          </cell>
          <cell r="E40" t="str">
            <v>N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6051.58</v>
          </cell>
          <cell r="O40">
            <v>4100.05</v>
          </cell>
          <cell r="P40">
            <v>6087.7</v>
          </cell>
          <cell r="Q40">
            <v>5568.16</v>
          </cell>
          <cell r="R40">
            <v>2519.7300000000068</v>
          </cell>
          <cell r="S40">
            <v>78551.38</v>
          </cell>
          <cell r="T40">
            <v>102878.6</v>
          </cell>
          <cell r="U40">
            <v>24327.220000000008</v>
          </cell>
          <cell r="V40">
            <v>24327.220000000008</v>
          </cell>
        </row>
        <row r="41">
          <cell r="C41" t="str">
            <v>AD-E</v>
          </cell>
          <cell r="D41" t="str">
            <v>AD</v>
          </cell>
          <cell r="E41" t="str">
            <v>E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C42" t="str">
            <v>CO-N</v>
          </cell>
          <cell r="D42" t="str">
            <v>CO</v>
          </cell>
          <cell r="E42" t="str">
            <v>N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C43" t="str">
            <v>CO-E</v>
          </cell>
          <cell r="D43" t="str">
            <v>CO</v>
          </cell>
          <cell r="E43" t="str">
            <v>E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5">
          <cell r="D45" t="str">
            <v>IN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67952.600000000006</v>
          </cell>
          <cell r="N45">
            <v>132136.06000000029</v>
          </cell>
          <cell r="O45">
            <v>149524.85</v>
          </cell>
          <cell r="P45">
            <v>50329.64</v>
          </cell>
          <cell r="Q45">
            <v>379779.81</v>
          </cell>
          <cell r="R45">
            <v>313696.33</v>
          </cell>
          <cell r="S45">
            <v>3682324.2799999993</v>
          </cell>
          <cell r="T45">
            <v>4775743.5699999994</v>
          </cell>
          <cell r="U45">
            <v>1093419.2900000003</v>
          </cell>
          <cell r="V45">
            <v>1093419.2900000003</v>
          </cell>
        </row>
        <row r="46">
          <cell r="D46" t="str">
            <v>AD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6051.58</v>
          </cell>
          <cell r="O46">
            <v>4100.05</v>
          </cell>
          <cell r="P46">
            <v>6087.7</v>
          </cell>
          <cell r="Q46">
            <v>5568.16</v>
          </cell>
          <cell r="R46">
            <v>2519.7300000000068</v>
          </cell>
          <cell r="S46">
            <v>78551.38</v>
          </cell>
          <cell r="T46">
            <v>102878.6</v>
          </cell>
          <cell r="U46">
            <v>24327.220000000008</v>
          </cell>
          <cell r="V46">
            <v>24327.220000000008</v>
          </cell>
        </row>
        <row r="47">
          <cell r="D47" t="str">
            <v>CO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D48" t="str">
            <v>TO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67952.600000000006</v>
          </cell>
          <cell r="N48">
            <v>138187.64000000028</v>
          </cell>
          <cell r="O48">
            <v>153624.9</v>
          </cell>
          <cell r="P48">
            <v>56417.34</v>
          </cell>
          <cell r="Q48">
            <v>385347.97</v>
          </cell>
          <cell r="R48">
            <v>316216.06</v>
          </cell>
          <cell r="S48">
            <v>3760875.6599999992</v>
          </cell>
          <cell r="T48">
            <v>4878622.169999999</v>
          </cell>
          <cell r="U48">
            <v>1117746.5100000002</v>
          </cell>
          <cell r="V48">
            <v>1117746.5100000002</v>
          </cell>
        </row>
        <row r="51">
          <cell r="D51" t="str">
            <v>IN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-14153.100000000006</v>
          </cell>
          <cell r="N51">
            <v>-28283.739999998215</v>
          </cell>
          <cell r="O51">
            <v>-36814.75</v>
          </cell>
          <cell r="P51">
            <v>-13162.46</v>
          </cell>
          <cell r="Q51">
            <v>-78527.390000000014</v>
          </cell>
          <cell r="R51">
            <v>-62504.97000000003</v>
          </cell>
          <cell r="S51">
            <v>-1017508.3200000003</v>
          </cell>
          <cell r="T51">
            <v>-1250954.7299999986</v>
          </cell>
          <cell r="U51">
            <v>-233446.40999999829</v>
          </cell>
          <cell r="V51">
            <v>-233446.40999999829</v>
          </cell>
        </row>
        <row r="52">
          <cell r="D52" t="str">
            <v>AD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-1295.42</v>
          </cell>
          <cell r="O52">
            <v>-1009.3499999999995</v>
          </cell>
          <cell r="P52">
            <v>-1592.1000000000004</v>
          </cell>
          <cell r="Q52">
            <v>-1151.2399999999998</v>
          </cell>
          <cell r="R52">
            <v>-501.66999999999325</v>
          </cell>
          <cell r="S52">
            <v>-16310.919999999984</v>
          </cell>
          <cell r="T52">
            <v>-21860.699999999983</v>
          </cell>
          <cell r="U52">
            <v>-5549.7799999999916</v>
          </cell>
          <cell r="V52">
            <v>-5549.7799999999916</v>
          </cell>
        </row>
        <row r="53">
          <cell r="D53" t="str">
            <v>CO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D54" t="str">
            <v>TO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-14153.100000000006</v>
          </cell>
          <cell r="N54">
            <v>-29579.159999998214</v>
          </cell>
          <cell r="O54">
            <v>-37824.1</v>
          </cell>
          <cell r="P54">
            <v>-14754.56</v>
          </cell>
          <cell r="Q54">
            <v>-79678.630000000019</v>
          </cell>
          <cell r="R54">
            <v>-63006.640000000021</v>
          </cell>
          <cell r="S54">
            <v>-1033819.2400000002</v>
          </cell>
          <cell r="T54">
            <v>-1272815.4299999985</v>
          </cell>
          <cell r="U54">
            <v>-238996.18999999829</v>
          </cell>
          <cell r="V54">
            <v>-238996.18999999829</v>
          </cell>
        </row>
      </sheetData>
      <sheetData sheetId="6">
        <row r="1">
          <cell r="D1">
            <v>37257</v>
          </cell>
        </row>
        <row r="2">
          <cell r="D2">
            <v>38352</v>
          </cell>
        </row>
        <row r="3">
          <cell r="D3">
            <v>38107</v>
          </cell>
        </row>
      </sheetData>
      <sheetData sheetId="7"/>
      <sheetData sheetId="8">
        <row r="15">
          <cell r="C15" t="str">
            <v>TO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"/>
      <sheetName val="FE"/>
      <sheetName val="FT"/>
      <sheetName val="TE"/>
      <sheetName val="TT"/>
      <sheetName val="LT (OK)"/>
      <sheetName val="LG"/>
      <sheetName val="LS"/>
      <sheetName val="VS (MOV)"/>
      <sheetName val="OR"/>
      <sheetName val="FV"/>
      <sheetName val="SVF715"/>
      <sheetName val="LINEAS "/>
      <sheetName val="PORTADA"/>
      <sheetName val="TABULACIÓN TÉCNICA (1)"/>
      <sheetName val="TABULACIÓN TÉCNICA (2)"/>
      <sheetName val="TABULACIÓN COMERCIAL"/>
      <sheetName val="TABULACIÓN COMERCIAL (2)"/>
      <sheetName val="NOTAS"/>
      <sheetName val="NOTAS (2)"/>
      <sheetName val="TABULACIÓN TÉCNICA TRP-45(0)"/>
      <sheetName val="TABULACIÓN TÉCNICA TRP-45(1)"/>
      <sheetName val="TABULACIÓN TÉCNICA TRP-45(3)"/>
      <sheetName val="TABULACIÓN TÉCNICA TRP-45(4)"/>
      <sheetName val="INPUT(REF)"/>
      <sheetName val="LT_(OK)"/>
      <sheetName val="VS_(MOV)"/>
      <sheetName val="LINEAS_"/>
      <sheetName val="TABULACIÓN_TÉCNICA_(1)"/>
      <sheetName val="TABULACIÓN_TÉCNICA_(2)"/>
      <sheetName val="TABULACIÓN_COMERCIAL"/>
      <sheetName val="TABULACIÓN_COMERCIAL_(2)"/>
      <sheetName val="NOTAS_(2)"/>
      <sheetName val="TABULACIÓN_TÉCNICA_TRP-45(0)"/>
      <sheetName val="TABULACIÓN_TÉCNICA_TRP-45(1)"/>
      <sheetName val="TABULACIÓN_TÉCNICA_TRP-45(3)"/>
      <sheetName val="TABULACIÓN_TÉCNICA_TRP-45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Ampacidad"/>
      <sheetName val="CIRCUITOS"/>
      <sheetName val="TABLA PARA MEMORIA_RHB"/>
    </sheetNames>
    <sheetDataSet>
      <sheetData sheetId="0">
        <row r="5">
          <cell r="K5">
            <v>41</v>
          </cell>
          <cell r="L5" t="str">
            <v>1x3c</v>
          </cell>
        </row>
        <row r="6">
          <cell r="K6">
            <v>40</v>
          </cell>
          <cell r="L6" t="str">
            <v>1x4c</v>
          </cell>
        </row>
        <row r="7">
          <cell r="K7">
            <v>39</v>
          </cell>
          <cell r="L7" t="str">
            <v>1x(3c+3G)</v>
          </cell>
        </row>
        <row r="8">
          <cell r="K8">
            <v>38</v>
          </cell>
          <cell r="L8" t="str">
            <v>3x1c</v>
          </cell>
        </row>
        <row r="9">
          <cell r="K9">
            <v>37</v>
          </cell>
          <cell r="L9" t="str">
            <v>4x1c</v>
          </cell>
        </row>
        <row r="10">
          <cell r="K10">
            <v>36</v>
          </cell>
          <cell r="L10" t="str">
            <v>5x1c</v>
          </cell>
        </row>
        <row r="11">
          <cell r="K11">
            <v>35</v>
          </cell>
          <cell r="L11" t="str">
            <v>1x5c</v>
          </cell>
        </row>
        <row r="12">
          <cell r="K12">
            <v>34</v>
          </cell>
          <cell r="L12" t="str">
            <v>1x7c</v>
          </cell>
        </row>
        <row r="13">
          <cell r="K13">
            <v>33</v>
          </cell>
          <cell r="L13" t="str">
            <v>1x9c</v>
          </cell>
        </row>
        <row r="14">
          <cell r="K14">
            <v>32</v>
          </cell>
          <cell r="L14" t="str">
            <v>1x8T</v>
          </cell>
        </row>
        <row r="15">
          <cell r="K15">
            <v>31</v>
          </cell>
        </row>
        <row r="16">
          <cell r="K16">
            <v>30</v>
          </cell>
        </row>
        <row r="17">
          <cell r="K17">
            <v>29</v>
          </cell>
        </row>
        <row r="18">
          <cell r="K18">
            <v>28</v>
          </cell>
        </row>
        <row r="19">
          <cell r="K19">
            <v>27</v>
          </cell>
        </row>
        <row r="20">
          <cell r="K20">
            <v>26</v>
          </cell>
        </row>
        <row r="21">
          <cell r="K21">
            <v>25</v>
          </cell>
        </row>
        <row r="22">
          <cell r="K22">
            <v>24</v>
          </cell>
        </row>
        <row r="23">
          <cell r="K23">
            <v>23</v>
          </cell>
        </row>
        <row r="24">
          <cell r="K24">
            <v>22</v>
          </cell>
        </row>
        <row r="25">
          <cell r="K25">
            <v>21</v>
          </cell>
        </row>
        <row r="26">
          <cell r="K26">
            <v>20</v>
          </cell>
        </row>
        <row r="27">
          <cell r="K27">
            <v>19</v>
          </cell>
        </row>
        <row r="28">
          <cell r="K28">
            <v>18</v>
          </cell>
        </row>
        <row r="29">
          <cell r="K29">
            <v>17</v>
          </cell>
        </row>
        <row r="30">
          <cell r="K30">
            <v>16</v>
          </cell>
        </row>
        <row r="31">
          <cell r="K31">
            <v>15</v>
          </cell>
        </row>
        <row r="32">
          <cell r="K32">
            <v>14</v>
          </cell>
        </row>
        <row r="33">
          <cell r="K33">
            <v>13</v>
          </cell>
        </row>
        <row r="34">
          <cell r="K34">
            <v>12</v>
          </cell>
        </row>
        <row r="35">
          <cell r="K35">
            <v>11</v>
          </cell>
        </row>
        <row r="36">
          <cell r="K36">
            <v>10</v>
          </cell>
        </row>
        <row r="37">
          <cell r="K37">
            <v>9</v>
          </cell>
        </row>
        <row r="38">
          <cell r="K38">
            <v>8</v>
          </cell>
        </row>
        <row r="39">
          <cell r="K39">
            <v>7</v>
          </cell>
        </row>
        <row r="40">
          <cell r="K40">
            <v>6</v>
          </cell>
        </row>
        <row r="41">
          <cell r="K41">
            <v>5</v>
          </cell>
        </row>
        <row r="42">
          <cell r="K42">
            <v>4</v>
          </cell>
        </row>
        <row r="43">
          <cell r="K43">
            <v>3</v>
          </cell>
        </row>
        <row r="44">
          <cell r="K44">
            <v>2</v>
          </cell>
        </row>
        <row r="45">
          <cell r="K45">
            <v>1</v>
          </cell>
        </row>
        <row r="46">
          <cell r="K46" t="str">
            <v>1/ 0</v>
          </cell>
        </row>
        <row r="47">
          <cell r="K47" t="str">
            <v>2/ 0</v>
          </cell>
        </row>
        <row r="48">
          <cell r="K48" t="str">
            <v>3/ 0</v>
          </cell>
        </row>
        <row r="49">
          <cell r="K49" t="str">
            <v>4/ 0</v>
          </cell>
        </row>
        <row r="50">
          <cell r="K50">
            <v>250</v>
          </cell>
        </row>
        <row r="51">
          <cell r="K51">
            <v>300</v>
          </cell>
        </row>
        <row r="52">
          <cell r="K52">
            <v>350</v>
          </cell>
        </row>
        <row r="53">
          <cell r="K53">
            <v>400</v>
          </cell>
        </row>
        <row r="54">
          <cell r="K54">
            <v>450</v>
          </cell>
        </row>
        <row r="55">
          <cell r="K55">
            <v>500</v>
          </cell>
        </row>
        <row r="56">
          <cell r="K56">
            <v>600</v>
          </cell>
        </row>
        <row r="57">
          <cell r="K57">
            <v>700</v>
          </cell>
        </row>
        <row r="58">
          <cell r="K58">
            <v>750</v>
          </cell>
        </row>
        <row r="59">
          <cell r="K59">
            <v>800</v>
          </cell>
        </row>
        <row r="60">
          <cell r="K60">
            <v>900</v>
          </cell>
        </row>
        <row r="61">
          <cell r="K61">
            <v>1000</v>
          </cell>
        </row>
        <row r="62">
          <cell r="K62">
            <v>1250</v>
          </cell>
        </row>
        <row r="63">
          <cell r="K63">
            <v>1500</v>
          </cell>
        </row>
        <row r="64">
          <cell r="K64">
            <v>1750</v>
          </cell>
        </row>
        <row r="65">
          <cell r="K65">
            <v>2000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14"/>
      <sheetName val="categ14"/>
      <sheetName val="conv14"/>
      <sheetName val="GGene14"/>
      <sheetName val="ep Mar14 "/>
      <sheetName val="resumen"/>
      <sheetName val="no borrrar"/>
      <sheetName val="ep_Mar14_"/>
      <sheetName val="no_borrrar"/>
      <sheetName val="Indice Precos Mes"/>
      <sheetName val="ep_Mar14_1"/>
      <sheetName val="no_borrrar1"/>
      <sheetName val="Indice_Precos_Mes"/>
      <sheetName val="ep14-ingendesa"/>
      <sheetName val="Unit prices"/>
      <sheetName val="5. Troya"/>
      <sheetName val="5__Troya"/>
      <sheetName val="escenario 1"/>
      <sheetName val="Inputs"/>
      <sheetName val="Facility Rev Build"/>
      <sheetName val="Obras_civil_ESENER"/>
      <sheetName val="Directs"/>
      <sheetName val="FORM_05"/>
      <sheetName val="ITEMIZADO"/>
      <sheetName val="Labor Summary"/>
      <sheetName val="Product"/>
      <sheetName val="Hoja1"/>
      <sheetName val="Retail"/>
      <sheetName val="Tax"/>
      <sheetName val="SA"/>
      <sheetName val="MAT"/>
      <sheetName val="Unit_prices"/>
      <sheetName val="4. Vehiculos"/>
      <sheetName val="1. Personal"/>
      <sheetName val="PRESUPUESTO"/>
      <sheetName val="CMO"/>
      <sheetName val="borrador"/>
      <sheetName val="BASES"/>
      <sheetName val="ep_Mar14_2"/>
      <sheetName val="no_borrrar2"/>
      <sheetName val="Indice_Precos_Mes1"/>
      <sheetName val="5__Troya1"/>
      <sheetName val="Unit_prices1"/>
      <sheetName val="escenario_1"/>
      <sheetName val="Facility_Rev_Build"/>
      <sheetName val="Labor_Summary"/>
      <sheetName val="4__Vehiculos"/>
      <sheetName val="1__Personal"/>
      <sheetName val="ep_Mar14_3"/>
      <sheetName val="no_borrrar3"/>
      <sheetName val="Indice_Precos_Mes2"/>
      <sheetName val="Unit_prices2"/>
      <sheetName val="escenario_11"/>
      <sheetName val="Facility_Rev_Build1"/>
      <sheetName val="Labor_Summary1"/>
      <sheetName val="5__Troya2"/>
      <sheetName val="Parametros"/>
      <sheetName val="ep_Mar14_4"/>
      <sheetName val="Indice_Precos_Mes3"/>
      <sheetName val="no_borrrar4"/>
      <sheetName val="Unit_prices3"/>
      <sheetName val="escenario_12"/>
      <sheetName val="Facility_Rev_Build2"/>
      <sheetName val="Labor_Summary2"/>
      <sheetName val="5__Troya3"/>
      <sheetName val="ep_Mar14_5"/>
      <sheetName val="Indice_Precos_Mes4"/>
      <sheetName val="no_borrrar5"/>
      <sheetName val="Unit_prices4"/>
      <sheetName val="escenario_13"/>
      <sheetName val="Facility_Rev_Build3"/>
      <sheetName val="Labor_Summary3"/>
      <sheetName val="5__Troya4"/>
      <sheetName val="ep_Mar14_6"/>
      <sheetName val="Indice_Precos_Mes5"/>
      <sheetName val="no_borrrar6"/>
      <sheetName val="Unit_prices5"/>
      <sheetName val="escenario_14"/>
      <sheetName val="Facility_Rev_Build4"/>
      <sheetName val="Labor_Summary4"/>
      <sheetName val="5__Troya5"/>
      <sheetName val="ep_Mar14_7"/>
      <sheetName val="Indice_Precos_Mes6"/>
      <sheetName val="no_borrrar7"/>
      <sheetName val="Unit_prices6"/>
      <sheetName val="escenario_15"/>
      <sheetName val="Facility_Rev_Build5"/>
      <sheetName val="Labor_Summary5"/>
      <sheetName val="5__Troya6"/>
      <sheetName val="ep_Mar14_8"/>
      <sheetName val="no_borrrar8"/>
      <sheetName val="Indice_Precos_Mes7"/>
      <sheetName val="escenario_16"/>
      <sheetName val="Unit_prices7"/>
      <sheetName val="Facility_Rev_Build6"/>
      <sheetName val="Labor_Summary6"/>
      <sheetName val="5__Troya7"/>
      <sheetName val="Categorias"/>
      <sheetName val="ep_Mar14_9"/>
      <sheetName val="Indice_Precos_Mes8"/>
      <sheetName val="no_borrrar9"/>
      <sheetName val="Unit_prices8"/>
      <sheetName val="escenario_17"/>
      <sheetName val="Facility_Rev_Build7"/>
      <sheetName val="Labor_Summary7"/>
      <sheetName val="5__Troya8"/>
      <sheetName val="ep_Mar14_10"/>
      <sheetName val="Indice_Precos_Mes9"/>
      <sheetName val="no_borrrar10"/>
      <sheetName val="Unit_prices9"/>
      <sheetName val="escenario_18"/>
      <sheetName val="Facility_Rev_Build8"/>
      <sheetName val="Labor_Summary8"/>
      <sheetName val="5__Troya9"/>
      <sheetName val="ep_Mar14_11"/>
      <sheetName val="Indice_Precos_Mes10"/>
      <sheetName val="no_borrrar11"/>
      <sheetName val="Unit_prices10"/>
      <sheetName val="escenario_19"/>
      <sheetName val="Facility_Rev_Build9"/>
      <sheetName val="Labor_Summary9"/>
      <sheetName val="5__Troya10"/>
      <sheetName val="Named_Lists1"/>
      <sheetName val="Info"/>
      <sheetName val="ep_Mar14_12"/>
      <sheetName val="Indice_Precos_Mes11"/>
      <sheetName val="no_borrrar12"/>
      <sheetName val="Unit_prices11"/>
      <sheetName val="escenario_110"/>
      <sheetName val="Facility_Rev_Build10"/>
      <sheetName val="Labor_Summary10"/>
      <sheetName val="5__Troya11"/>
      <sheetName val="ep_Mar14_13"/>
      <sheetName val="Indice_Precos_Mes12"/>
      <sheetName val="no_borrrar13"/>
      <sheetName val="Unit_prices12"/>
      <sheetName val="escenario_111"/>
      <sheetName val="Facility_Rev_Build11"/>
      <sheetName val="Labor_Summary11"/>
      <sheetName val="5__Troya12"/>
      <sheetName val="ep_Mar14_14"/>
      <sheetName val="Indice_Precos_Mes13"/>
      <sheetName val="no_borrrar14"/>
      <sheetName val="Unit_prices13"/>
      <sheetName val="escenario_112"/>
      <sheetName val="Facility_Rev_Build12"/>
      <sheetName val="Labor_Summary12"/>
      <sheetName val="5__Troya13"/>
      <sheetName val="ep_Mar14_16"/>
      <sheetName val="Indice_Precos_Mes15"/>
      <sheetName val="no_borrrar16"/>
      <sheetName val="Unit_prices15"/>
      <sheetName val="escenario_114"/>
      <sheetName val="Facility_Rev_Build14"/>
      <sheetName val="Labor_Summary14"/>
      <sheetName val="5__Troya15"/>
      <sheetName val="ep_Mar14_15"/>
      <sheetName val="Indice_Precos_Mes14"/>
      <sheetName val="no_borrrar15"/>
      <sheetName val="Unit_prices14"/>
      <sheetName val="escenario_113"/>
      <sheetName val="Facility_Rev_Build13"/>
      <sheetName val="Labor_Summary13"/>
      <sheetName val="5__Troya14"/>
      <sheetName val="ep_Mar14_17"/>
      <sheetName val="Indice_Precos_Mes16"/>
      <sheetName val="no_borrrar17"/>
      <sheetName val="Unit_prices16"/>
      <sheetName val="escenario_115"/>
      <sheetName val="Facility_Rev_Build15"/>
      <sheetName val="Labor_Summary15"/>
      <sheetName val="5__Troya16"/>
      <sheetName val="ep_Mar14_18"/>
      <sheetName val="Indice_Precos_Mes17"/>
      <sheetName val="no_borrrar18"/>
      <sheetName val="Unit_prices17"/>
      <sheetName val="escenario_116"/>
      <sheetName val="Facility_Rev_Build16"/>
      <sheetName val="Labor_Summary16"/>
      <sheetName val="5__Troya17"/>
      <sheetName val="Tapa"/>
      <sheetName val="ep_Mar14_19"/>
      <sheetName val="Indice_Precos_Mes18"/>
      <sheetName val="no_borrrar19"/>
      <sheetName val="Unit_prices18"/>
      <sheetName val="escenario_117"/>
      <sheetName val="Facility_Rev_Build17"/>
      <sheetName val="Labor_Summary17"/>
      <sheetName val="5__Troya18"/>
      <sheetName val="CTTOS"/>
      <sheetName val="Metrados Fabricacion"/>
      <sheetName val="TC"/>
      <sheetName val="ep_Mar14_20"/>
      <sheetName val="Indice_Precos_Mes19"/>
      <sheetName val="no_borrrar20"/>
      <sheetName val="Unit_prices19"/>
      <sheetName val="escenario_118"/>
      <sheetName val="Facility_Rev_Build18"/>
      <sheetName val="Labor_Summary18"/>
      <sheetName val="5__Troya19"/>
      <sheetName val="ep_Mar14_21"/>
      <sheetName val="no_borrrar21"/>
      <sheetName val="Indice_Precos_Mes20"/>
      <sheetName val="5__Troya20"/>
      <sheetName val="Unit_prices20"/>
      <sheetName val="escenario_119"/>
      <sheetName val="Facility_Rev_Build19"/>
      <sheetName val="Labor_Summary19"/>
      <sheetName val="Base"/>
      <sheetName val="ep_Mar14_22"/>
      <sheetName val="no_borrrar22"/>
      <sheetName val="Indice_Precos_Mes21"/>
      <sheetName val="5__Troya21"/>
      <sheetName val="Unit_prices21"/>
      <sheetName val="escenario_120"/>
      <sheetName val="Facility_Rev_Build20"/>
      <sheetName val="Labor_Summary20"/>
      <sheetName val="4__Vehiculos1"/>
      <sheetName val="1__Personal1"/>
      <sheetName val="2_2"/>
      <sheetName val="Carta Navegacion Alta Gerencia"/>
      <sheetName val="Resumen Acumulado"/>
      <sheetName val="Resumen Mensual"/>
      <sheetName val="Tendencias"/>
      <sheetName val="ECO-02 1.1"/>
      <sheetName val="ECO-02 1.2"/>
      <sheetName val="ECO-02 1.3"/>
      <sheetName val="ECO-02 1.4"/>
      <sheetName val="ECO-02 1.5"/>
      <sheetName val="ECO-02 1.6"/>
      <sheetName val="ECO-02 1.7"/>
      <sheetName val="ECO-02 1.8"/>
      <sheetName val="ECO-02 1.9"/>
      <sheetName val="ECO-02 1.10"/>
      <sheetName val="ECO-02 1.11"/>
      <sheetName val="ECO-02 1.12"/>
      <sheetName val="ECO-02 1.13"/>
      <sheetName val="ECO-02 1.14"/>
      <sheetName val="ECO-02 1.15"/>
      <sheetName val="ECO-02 1.16"/>
      <sheetName val="ECO-02 1.17"/>
      <sheetName val="ECO-02 1.18"/>
      <sheetName val="ECO-02 1.19"/>
      <sheetName val="4__Vehiculos2"/>
      <sheetName val="1__Personal2"/>
      <sheetName val="ep_Mar14_24"/>
      <sheetName val="no_borrrar24"/>
      <sheetName val="Indice_Precos_Mes23"/>
      <sheetName val="Facility_Rev_Build22"/>
      <sheetName val="Labor_Summary22"/>
      <sheetName val="escenario_122"/>
      <sheetName val="Unit_prices23"/>
      <sheetName val="5__Troya23"/>
      <sheetName val="4__Vehiculos3"/>
      <sheetName val="1__Personal3"/>
      <sheetName val="Metrados_Fabricacion1"/>
      <sheetName val="ep_Mar14_23"/>
      <sheetName val="no_borrrar23"/>
      <sheetName val="Indice_Precos_Mes22"/>
      <sheetName val="Facility_Rev_Build21"/>
      <sheetName val="Labor_Summary21"/>
      <sheetName val="escenario_121"/>
      <sheetName val="Unit_prices22"/>
      <sheetName val="5__Troya22"/>
      <sheetName val="Metrados_Fabricacion"/>
      <sheetName val="ep_Mar14_25"/>
      <sheetName val="no_borrrar25"/>
      <sheetName val="Indice_Precos_Mes24"/>
      <sheetName val="Facility_Rev_Build23"/>
      <sheetName val="Labor_Summary23"/>
      <sheetName val="escenario_123"/>
      <sheetName val="Unit_prices24"/>
      <sheetName val="5__Troya24"/>
      <sheetName val="4__Vehiculos4"/>
      <sheetName val="1__Personal4"/>
      <sheetName val="Metrados_Fabricacion2"/>
      <sheetName val="ep_Mar14_26"/>
      <sheetName val="no_borrrar26"/>
      <sheetName val="Indice_Precos_Mes25"/>
      <sheetName val="5__Troya25"/>
      <sheetName val="Unit_prices25"/>
      <sheetName val="escenario_124"/>
      <sheetName val="Facility_Rev_Build24"/>
      <sheetName val="Labor_Summary24"/>
      <sheetName val="4__Vehiculos5"/>
      <sheetName val="1__Personal5"/>
      <sheetName val="Metrados_Fabricacion3"/>
      <sheetName val="Carta_Navegacion_Alta_Gerencia"/>
      <sheetName val="Resumen_Acumulado"/>
      <sheetName val="Resumen_Mensual"/>
      <sheetName val="ECO-02_1_1"/>
      <sheetName val="ECO-02_1_2"/>
      <sheetName val="ECO-02_1_3"/>
      <sheetName val="ECO-02_1_4"/>
      <sheetName val="ECO-02_1_5"/>
      <sheetName val="ECO-02_1_6"/>
      <sheetName val="ECO-02_1_7"/>
      <sheetName val="ECO-02_1_8"/>
      <sheetName val="ECO-02_1_9"/>
      <sheetName val="ECO-02_1_10"/>
      <sheetName val="ECO-02_1_11"/>
      <sheetName val="ECO-02_1_12"/>
      <sheetName val="ECO-02_1_13"/>
      <sheetName val="ECO-02_1_14"/>
      <sheetName val="ECO-02_1_15"/>
      <sheetName val="ECO-02_1_16"/>
      <sheetName val="ECO-02_1_17"/>
      <sheetName val="ECO-02_1_18"/>
      <sheetName val="ECO-02_1_19"/>
      <sheetName val="ep_Mar14_27"/>
      <sheetName val="no_borrrar27"/>
      <sheetName val="Indice_Precos_Mes26"/>
      <sheetName val="Unit_prices26"/>
      <sheetName val="5__Troya26"/>
      <sheetName val="escenario_125"/>
      <sheetName val="Facility_Rev_Build25"/>
      <sheetName val="Labor_Summary25"/>
      <sheetName val="4__Vehiculos6"/>
      <sheetName val="1__Personal6"/>
      <sheetName val="Metrados_Fabricacion4"/>
      <sheetName val="Carta_Navegacion_Alta_Gerencia1"/>
      <sheetName val="Resumen_Acumulado1"/>
      <sheetName val="Resumen_Mensual1"/>
      <sheetName val="ECO-02_1_110"/>
      <sheetName val="ECO-02_1_21"/>
      <sheetName val="ECO-02_1_31"/>
      <sheetName val="ECO-02_1_41"/>
      <sheetName val="ECO-02_1_51"/>
      <sheetName val="ECO-02_1_61"/>
      <sheetName val="ECO-02_1_71"/>
      <sheetName val="ECO-02_1_81"/>
      <sheetName val="ECO-02_1_91"/>
      <sheetName val="ECO-02_1_101"/>
      <sheetName val="ECO-02_1_111"/>
      <sheetName val="ECO-02_1_121"/>
      <sheetName val="ECO-02_1_131"/>
      <sheetName val="ECO-02_1_141"/>
      <sheetName val="ECO-02_1_151"/>
      <sheetName val="ECO-02_1_161"/>
      <sheetName val="ECO-02_1_171"/>
      <sheetName val="ECO-02_1_181"/>
      <sheetName val="ECO-02_1_191"/>
      <sheetName val="ep_Mar14_30"/>
      <sheetName val="no_borrrar30"/>
      <sheetName val="Indice_Precos_Mes29"/>
      <sheetName val="5__Troya29"/>
      <sheetName val="escenario_128"/>
      <sheetName val="Unit_prices29"/>
      <sheetName val="Facility_Rev_Build28"/>
      <sheetName val="Labor_Summary28"/>
      <sheetName val="4__Vehiculos9"/>
      <sheetName val="1__Personal9"/>
      <sheetName val="Metrados_Fabricacion7"/>
      <sheetName val="Carta_Navegacion_Alta_Gerencia4"/>
      <sheetName val="Resumen_Acumulado4"/>
      <sheetName val="Resumen_Mensual4"/>
      <sheetName val="ECO-02_1_116"/>
      <sheetName val="ECO-02_1_24"/>
      <sheetName val="ECO-02_1_34"/>
      <sheetName val="ECO-02_1_44"/>
      <sheetName val="ECO-02_1_54"/>
      <sheetName val="ECO-02_1_64"/>
      <sheetName val="ECO-02_1_74"/>
      <sheetName val="ECO-02_1_84"/>
      <sheetName val="ECO-02_1_94"/>
      <sheetName val="ECO-02_1_104"/>
      <sheetName val="ECO-02_1_117"/>
      <sheetName val="ECO-02_1_124"/>
      <sheetName val="ECO-02_1_134"/>
      <sheetName val="ECO-02_1_144"/>
      <sheetName val="ECO-02_1_154"/>
      <sheetName val="ECO-02_1_164"/>
      <sheetName val="ECO-02_1_174"/>
      <sheetName val="ECO-02_1_184"/>
      <sheetName val="ECO-02_1_194"/>
      <sheetName val="ep_Mar14_28"/>
      <sheetName val="no_borrrar28"/>
      <sheetName val="Indice_Precos_Mes27"/>
      <sheetName val="5__Troya27"/>
      <sheetName val="escenario_126"/>
      <sheetName val="Unit_prices27"/>
      <sheetName val="Facility_Rev_Build26"/>
      <sheetName val="Labor_Summary26"/>
      <sheetName val="4__Vehiculos7"/>
      <sheetName val="1__Personal7"/>
      <sheetName val="Metrados_Fabricacion5"/>
      <sheetName val="Carta_Navegacion_Alta_Gerencia2"/>
      <sheetName val="Resumen_Acumulado2"/>
      <sheetName val="Resumen_Mensual2"/>
      <sheetName val="ECO-02_1_112"/>
      <sheetName val="ECO-02_1_22"/>
      <sheetName val="ECO-02_1_32"/>
      <sheetName val="ECO-02_1_42"/>
      <sheetName val="ECO-02_1_52"/>
      <sheetName val="ECO-02_1_62"/>
      <sheetName val="ECO-02_1_72"/>
      <sheetName val="ECO-02_1_82"/>
      <sheetName val="ECO-02_1_92"/>
      <sheetName val="ECO-02_1_102"/>
      <sheetName val="ECO-02_1_113"/>
      <sheetName val="ECO-02_1_122"/>
      <sheetName val="ECO-02_1_132"/>
      <sheetName val="ECO-02_1_142"/>
      <sheetName val="ECO-02_1_152"/>
      <sheetName val="ECO-02_1_162"/>
      <sheetName val="ECO-02_1_172"/>
      <sheetName val="ECO-02_1_182"/>
      <sheetName val="ECO-02_1_192"/>
      <sheetName val="ep_Mar14_29"/>
      <sheetName val="no_borrrar29"/>
      <sheetName val="Indice_Precos_Mes28"/>
      <sheetName val="5__Troya28"/>
      <sheetName val="escenario_127"/>
      <sheetName val="Unit_prices28"/>
      <sheetName val="Facility_Rev_Build27"/>
      <sheetName val="Labor_Summary27"/>
      <sheetName val="4__Vehiculos8"/>
      <sheetName val="1__Personal8"/>
      <sheetName val="Metrados_Fabricacion6"/>
      <sheetName val="Carta_Navegacion_Alta_Gerencia3"/>
      <sheetName val="Resumen_Acumulado3"/>
      <sheetName val="Resumen_Mensual3"/>
      <sheetName val="ECO-02_1_114"/>
      <sheetName val="ECO-02_1_23"/>
      <sheetName val="ECO-02_1_33"/>
      <sheetName val="ECO-02_1_43"/>
      <sheetName val="ECO-02_1_53"/>
      <sheetName val="ECO-02_1_63"/>
      <sheetName val="ECO-02_1_73"/>
      <sheetName val="ECO-02_1_83"/>
      <sheetName val="ECO-02_1_93"/>
      <sheetName val="ECO-02_1_103"/>
      <sheetName val="ECO-02_1_115"/>
      <sheetName val="ECO-02_1_123"/>
      <sheetName val="ECO-02_1_133"/>
      <sheetName val="ECO-02_1_143"/>
      <sheetName val="ECO-02_1_153"/>
      <sheetName val="ECO-02_1_163"/>
      <sheetName val="ECO-02_1_173"/>
      <sheetName val="ECO-02_1_183"/>
      <sheetName val="ECO-02_1_193"/>
      <sheetName val="ep_Mar14_31"/>
      <sheetName val="no_borrrar31"/>
      <sheetName val="Indice_Precos_Mes30"/>
      <sheetName val="Unit_prices30"/>
      <sheetName val="escenario_129"/>
      <sheetName val="5__Troya30"/>
      <sheetName val="Facility_Rev_Build29"/>
      <sheetName val="Labor_Summary29"/>
      <sheetName val="4__Vehiculos10"/>
      <sheetName val="1__Personal10"/>
      <sheetName val="Metrados_Fabricacion8"/>
      <sheetName val="ECO-02_1_118"/>
      <sheetName val="ECO-02_1_25"/>
      <sheetName val="ECO-02_1_35"/>
      <sheetName val="ECO-02_1_45"/>
      <sheetName val="ECO-02_1_55"/>
      <sheetName val="ECO-02_1_65"/>
      <sheetName val="ECO-02_1_75"/>
      <sheetName val="ECO-02_1_85"/>
      <sheetName val="ECO-02_1_95"/>
      <sheetName val="ECO-02_1_105"/>
      <sheetName val="ECO-02_1_119"/>
      <sheetName val="ECO-02_1_125"/>
      <sheetName val="ECO-02_1_135"/>
      <sheetName val="ECO-02_1_145"/>
      <sheetName val="ECO-02_1_155"/>
      <sheetName val="ECO-02_1_165"/>
      <sheetName val="ECO-02_1_175"/>
      <sheetName val="ECO-02_1_185"/>
      <sheetName val="ECO-02_1_195"/>
      <sheetName val="Carta_Navegacion_Alta_Gerencia5"/>
      <sheetName val="Resumen_Acumulado5"/>
      <sheetName val="Resumen_Mensual5"/>
      <sheetName val="Inversiones"/>
      <sheetName val="Programa Producción"/>
      <sheetName val="Desarrollo"/>
      <sheetName val="Leyes"/>
      <sheetName val="Fab. 15"/>
      <sheetName val="UGAS_INF"/>
      <sheetName val="NEG_INF"/>
      <sheetName val="TAG"/>
      <sheetName val="EDP Parada de Planta"/>
      <sheetName val="Provisiones Agosto19 "/>
      <sheetName val="GFF"/>
      <sheetName val="Costo MP"/>
      <sheetName val="Facturacion Codelco jun19"/>
      <sheetName val="EDP 106 AGOSTO"/>
      <sheetName val="Facturacion cttas"/>
      <sheetName val="Ultimos dias contratistas"/>
      <sheetName val="Ultimos días Codelco 16 a 31"/>
      <sheetName val="Facturador cttas jun19"/>
      <sheetName val="Cttas cobros"/>
      <sheetName val="#MASTER#"/>
      <sheetName val="PROJ_MGMT"/>
      <sheetName val="Salary Schedules"/>
      <sheetName val="Basis"/>
      <sheetName val="ep_Mar14_32"/>
      <sheetName val="no_borrrar32"/>
      <sheetName val="Indice_Precos_Mes31"/>
      <sheetName val="5__Troya31"/>
      <sheetName val="Unit_prices31"/>
      <sheetName val="escenario_130"/>
      <sheetName val="Facility_Rev_Build30"/>
      <sheetName val="Labor_Summary30"/>
      <sheetName val="4__Vehiculos11"/>
      <sheetName val="1__Personal11"/>
      <sheetName val="Metrados_Fabricacion9"/>
      <sheetName val="Carta_Navegacion_Alta_Gerencia6"/>
      <sheetName val="Resumen_Acumulado6"/>
      <sheetName val="Resumen_Mensual6"/>
      <sheetName val="ECO-02_1_120"/>
      <sheetName val="ECO-02_1_26"/>
      <sheetName val="ECO-02_1_36"/>
      <sheetName val="ECO-02_1_46"/>
      <sheetName val="ECO-02_1_56"/>
      <sheetName val="ECO-02_1_66"/>
      <sheetName val="ECO-02_1_76"/>
      <sheetName val="ECO-02_1_86"/>
      <sheetName val="ECO-02_1_96"/>
      <sheetName val="ECO-02_1_106"/>
      <sheetName val="ECO-02_1_1110"/>
      <sheetName val="ECO-02_1_126"/>
      <sheetName val="ECO-02_1_136"/>
      <sheetName val="ECO-02_1_146"/>
      <sheetName val="ECO-02_1_156"/>
      <sheetName val="ECO-02_1_166"/>
      <sheetName val="ECO-02_1_176"/>
      <sheetName val="ECO-02_1_186"/>
      <sheetName val="ECO-02_1_196"/>
      <sheetName val="EP32"/>
      <sheetName val="EP33"/>
      <sheetName val="EP34"/>
      <sheetName val="EP35"/>
      <sheetName val="EP36"/>
      <sheetName val="EP37"/>
      <sheetName val="Resumen EP x Fac"/>
      <sheetName val="ECO-01"/>
      <sheetName val="Resumen EP"/>
      <sheetName val="Resumen EP x Item"/>
      <sheetName val="EP-32 "/>
      <sheetName val="EP-33"/>
      <sheetName val="EP-34"/>
      <sheetName val="EP-35"/>
      <sheetName val="COMPARATIVO"/>
      <sheetName val="Combustible 2019"/>
      <sheetName val="Notas"/>
      <sheetName val="FLUJO  (2)"/>
      <sheetName val="Sueldos Ptro"/>
      <sheetName val="Sueldos"/>
      <sheetName val="CAP"/>
      <sheetName val="M&amp;D"/>
      <sheetName val="EPP"/>
      <sheetName val="Equipos "/>
      <sheetName val="DEP. Equi"/>
      <sheetName val="VEH (2)"/>
      <sheetName val="Amort Veh "/>
      <sheetName val="DEP. VEHICULOS "/>
      <sheetName val="GG (2)"/>
      <sheetName val="FACT"/>
      <sheetName val="FLUJO LEASING"/>
      <sheetName val="FLUJO "/>
      <sheetName val="GG"/>
      <sheetName val="RESUMEN PROYECTO"/>
      <sheetName val="Curva del Proyecto"/>
      <sheetName val="Sueldos Flujos"/>
      <sheetName val="Sueldos Resumen"/>
      <sheetName val="EQUI"/>
      <sheetName val="DEP. EQUIPO"/>
      <sheetName val="EPP Y UNI"/>
      <sheetName val="VEH"/>
      <sheetName val="Amort Equipos"/>
      <sheetName val="Hoja3"/>
      <sheetName val="MYD"/>
      <sheetName val="Hoja2"/>
      <sheetName val="FTR"/>
      <sheetName val="SHEET1"/>
      <sheetName val="Detail Estimate"/>
      <sheetName val="Calendario"/>
      <sheetName val="Interface de programacion "/>
      <sheetName val="Condicion"/>
      <sheetName val="Programa_Producción"/>
      <sheetName val="Fab__15"/>
      <sheetName val="GENERAL"/>
      <sheetName val="Caratula"/>
      <sheetName val="Observ"/>
      <sheetName val="Detalle"/>
      <sheetName val="DETALLE DE VEHICULOS"/>
      <sheetName val="REVISION"/>
      <sheetName val="NEUMATICOS"/>
      <sheetName val="REPARACIONES"/>
      <sheetName val="KPI"/>
      <sheetName val="DISTRIBUCIÓN"/>
      <sheetName val="Datos"/>
      <sheetName val="ITEMIZADO 18"/>
      <sheetName val="Table 1"/>
      <sheetName val="RESUMEN EJECUTIVO"/>
      <sheetName val="3w Look ahead"/>
      <sheetName val="P6 13SEP"/>
      <sheetName val="M"/>
      <sheetName val="AR"/>
      <sheetName val="SS"/>
      <sheetName val="REM x Día"/>
      <sheetName val="BUG x Día"/>
      <sheetName val="Form uv CCMC"/>
      <sheetName val="Fom uv CCMO"/>
      <sheetName val="Global CCMC y CCMO"/>
      <sheetName val="Calculo vol cv"/>
      <sheetName val="HP CCMC"/>
      <sheetName val="HP ML"/>
      <sheetName val="HP CCMO"/>
      <sheetName val="HP Plo"/>
      <sheetName val="HP ult form"/>
      <sheetName val="Xerox CCMC"/>
      <sheetName val="Xerox CCMO"/>
      <sheetName val="CANON CCMC"/>
      <sheetName val="CANON CCMO"/>
      <sheetName val="RICOH CCMC"/>
      <sheetName val="RICOH CCMO"/>
      <sheetName val="RICOH desglose"/>
      <sheetName val="SONDA (Lex) CCMC"/>
      <sheetName val="SONDA (Lex)CCMO"/>
      <sheetName val="OFI MUN CCMC"/>
      <sheetName val="OFI MUN CCMO"/>
      <sheetName val="DEIRA CCMC Opcion 2"/>
      <sheetName val="DEIRA CCMO Opcion 2"/>
      <sheetName val="DEIRA DESGLOSE DE COSTOS"/>
      <sheetName val="DEIRA REMUNERACIONES"/>
      <sheetName val="DEIRA Informe de compatibilidad"/>
      <sheetName val="Resumen Eval Completa"/>
      <sheetName val="Resum Rev 0"/>
      <sheetName val="Resum Rev 1"/>
      <sheetName val="Resum Rev 2"/>
      <sheetName val="Resum Rev 3 Carta Act"/>
      <sheetName val="Visión Resum Op Serv"/>
      <sheetName val="Vol Orig Rev 0"/>
      <sheetName val="Vol Ajustado Rev 1"/>
      <sheetName val="Eval Econom Global"/>
      <sheetName val="Vol Desc Eco Glob JM desc "/>
      <sheetName val="Vol Act Precio Dólar"/>
      <sheetName val="6.6b FORM COT RIEG-cs Vol Orig"/>
      <sheetName val="6.6b FORM COT RIEG cs  Vol Ajus"/>
      <sheetName val="6.6b FORM COT RIEGO-AGUA ss"/>
      <sheetName val="6.6c FORM COT TAS  CCMC-CCMO ss"/>
      <sheetName val=" 6.6c FORM COT MAS sin AjVol cs"/>
      <sheetName val=" 6.6c FORM COT MAS Vol Ajus cs"/>
      <sheetName val="Cost Actual y Budget"/>
      <sheetName val="Eval Téc MAS"/>
      <sheetName val="Eval Téc RAA"/>
      <sheetName val="M.AMBIENTE"/>
      <sheetName val="EVAL PREV RIESGOS"/>
      <sheetName val="EVAL FINANC"/>
      <sheetName val="RECURSOS"/>
      <sheetName val="RESUM RECURSOS"/>
      <sheetName val="COMP REMUNERACIONES"/>
      <sheetName val="Attach 4-18"/>
      <sheetName val="INVER ESCENARIO PDA"/>
      <sheetName val="Arriendo"/>
      <sheetName val="EDP_Parada_de_Planta"/>
      <sheetName val="Provisiones_Agosto19_"/>
      <sheetName val="Costo_MP"/>
      <sheetName val="Facturacion_Codelco_jun19"/>
      <sheetName val="EDP_106_AGOSTO"/>
      <sheetName val="Facturacion_cttas"/>
      <sheetName val="Ultimos_dias_contratistas"/>
      <sheetName val="Ultimos_días_Codelco_16_a_31"/>
      <sheetName val="Facturador_cttas_jun19"/>
      <sheetName val="Cttas_cobros"/>
      <sheetName val="DETALLE_DE_VEHICULOS"/>
      <sheetName val="Detalle_Unificado"/>
      <sheetName val="INCURRIDOS  R-P 05"/>
      <sheetName val="OBJETIVO 06"/>
      <sheetName val="FINANCIERO R-P 05"/>
      <sheetName val="CONTROL FISICO P_R"/>
      <sheetName val="BASES MONETARIAS"/>
      <sheetName val="Resumen API"/>
      <sheetName val="ANEXO C"/>
      <sheetName val="C1"/>
      <sheetName val="C2"/>
      <sheetName val="Assumntions"/>
      <sheetName val="Rev_HH"/>
      <sheetName val="% esfuerzo"/>
      <sheetName val="C3"/>
      <sheetName val="C4"/>
      <sheetName val="C5"/>
      <sheetName val="C2 Vendor CCS"/>
      <sheetName val="C2 Vendor W2"/>
      <sheetName val="Entr. MEIA"/>
      <sheetName val="Lista MEIA-2"/>
      <sheetName val="C2 MEIA Entregables Posibles"/>
      <sheetName val="CONTRATADOS"/>
      <sheetName val="PROCESO"/>
      <sheetName val="Hoja4"/>
      <sheetName val="EPPR Ing CV-007"/>
      <sheetName val="Resumen HH Avance x task"/>
      <sheetName val="HH Gastadas"/>
      <sheetName val="Staffing"/>
      <sheetName val="GRAFICOS"/>
      <sheetName val="Tendencia PT114"/>
      <sheetName val="PMG 1"/>
      <sheetName val="DISTANCIAS"/>
      <sheetName val="Detalle Gastos Reembolsables"/>
      <sheetName val="Register"/>
      <sheetName val="IGA 2000"/>
      <sheetName val="ep_Mar14_33"/>
      <sheetName val="no_borrrar33"/>
      <sheetName val="Indice_Precos_Mes32"/>
      <sheetName val="5__Troya32"/>
      <sheetName val="Unit_prices32"/>
      <sheetName val="escenario_131"/>
      <sheetName val="Facility_Rev_Build31"/>
      <sheetName val="Labor_Summary31"/>
      <sheetName val="Metrados_Fabricacion10"/>
      <sheetName val="4__Vehiculos12"/>
      <sheetName val="1__Personal12"/>
      <sheetName val="ECO-02_1_127"/>
      <sheetName val="ECO-02_1_27"/>
      <sheetName val="ECO-02_1_37"/>
      <sheetName val="ECO-02_1_47"/>
      <sheetName val="ECO-02_1_57"/>
      <sheetName val="ECO-02_1_67"/>
      <sheetName val="ECO-02_1_77"/>
      <sheetName val="ECO-02_1_87"/>
      <sheetName val="ECO-02_1_97"/>
      <sheetName val="ECO-02_1_107"/>
      <sheetName val="ECO-02_1_1111"/>
      <sheetName val="ECO-02_1_128"/>
      <sheetName val="ECO-02_1_137"/>
      <sheetName val="ECO-02_1_147"/>
      <sheetName val="ECO-02_1_157"/>
      <sheetName val="ECO-02_1_167"/>
      <sheetName val="ECO-02_1_177"/>
      <sheetName val="ECO-02_1_187"/>
      <sheetName val="ECO-02_1_197"/>
      <sheetName val="Carta_Navegacion_Alta_Gerencia7"/>
      <sheetName val="Resumen_Acumulado7"/>
      <sheetName val="Resumen_Mensual7"/>
      <sheetName val="Programa_Producción1"/>
      <sheetName val="Fab__151"/>
      <sheetName val="S"/>
      <sheetName val="Evaluacion"/>
      <sheetName val="Respaldo"/>
      <sheetName val="ep_Mar14_34"/>
      <sheetName val="no_borrrar34"/>
      <sheetName val="Indice_Precos_Mes33"/>
      <sheetName val="5__Troya33"/>
      <sheetName val="Unit_prices33"/>
      <sheetName val="escenario_132"/>
      <sheetName val="Facility_Rev_Build32"/>
      <sheetName val="Labor_Summary32"/>
      <sheetName val="4__Vehiculos13"/>
      <sheetName val="1__Personal13"/>
      <sheetName val="Metrados_Fabricacion11"/>
      <sheetName val="ECO-02_1_129"/>
      <sheetName val="ECO-02_1_28"/>
      <sheetName val="ECO-02_1_38"/>
      <sheetName val="ECO-02_1_48"/>
      <sheetName val="ECO-02_1_58"/>
      <sheetName val="ECO-02_1_68"/>
      <sheetName val="ECO-02_1_78"/>
      <sheetName val="ECO-02_1_88"/>
      <sheetName val="ECO-02_1_98"/>
      <sheetName val="ECO-02_1_108"/>
      <sheetName val="ECO-02_1_1112"/>
      <sheetName val="ECO-02_1_1210"/>
      <sheetName val="ECO-02_1_138"/>
      <sheetName val="ECO-02_1_148"/>
      <sheetName val="ECO-02_1_158"/>
      <sheetName val="ECO-02_1_168"/>
      <sheetName val="ECO-02_1_178"/>
      <sheetName val="ECO-02_1_188"/>
      <sheetName val="ECO-02_1_198"/>
      <sheetName val="Carta_Navegacion_Alta_Gerencia8"/>
      <sheetName val="Resumen_Acumulado8"/>
      <sheetName val="Resumen_Mensual8"/>
      <sheetName val="Programa_Producción2"/>
      <sheetName val="Fab__152"/>
      <sheetName val="Salary_Schedules"/>
      <sheetName val="Combustible_2019"/>
      <sheetName val="FLUJO__(2)"/>
      <sheetName val="Sueldos_Ptro"/>
      <sheetName val="Equipos_"/>
      <sheetName val="DEP__Equi"/>
      <sheetName val="VEH_(2)"/>
      <sheetName val="Amort_Veh_"/>
      <sheetName val="DEP__VEHICULOS_"/>
      <sheetName val="GG_(2)"/>
      <sheetName val="FLUJO_LEASING"/>
      <sheetName val="FLUJO_"/>
      <sheetName val="RESUMEN_PROYECTO"/>
      <sheetName val="Curva_del_Proyecto"/>
      <sheetName val="Sueldos_Flujos"/>
      <sheetName val="Sueldos_Resumen"/>
      <sheetName val="DEP__EQUIPO"/>
      <sheetName val="EPP_Y_UNI"/>
      <sheetName val="Amort_Equipos"/>
      <sheetName val="Detail_Estimate"/>
      <sheetName val="ITEMIZADO_18"/>
      <sheetName val="EDP_Parada_de_Planta1"/>
      <sheetName val="Provisiones_Agosto19_1"/>
      <sheetName val="Costo_MP1"/>
      <sheetName val="Facturacion_Codelco_jun191"/>
      <sheetName val="EDP_106_AGOSTO1"/>
      <sheetName val="Facturacion_cttas1"/>
      <sheetName val="Ultimos_dias_contratistas1"/>
      <sheetName val="Ultimos_días_Codelco_16_a_311"/>
      <sheetName val="Facturador_cttas_jun191"/>
      <sheetName val="Cttas_cobros1"/>
      <sheetName val="Interface_de_programacion_"/>
      <sheetName val="INCURRIDOS__R-P_05"/>
      <sheetName val="OBJETIVO_06"/>
      <sheetName val="FINANCIERO_R-P_05"/>
      <sheetName val="CONTROL_FISICO_P_R"/>
      <sheetName val="Attach_4-18"/>
      <sheetName val="DETALLE_DE_VEHICULOS1"/>
      <sheetName val="Table_1"/>
      <sheetName val="RESUMEN_EJECUTIVO"/>
      <sheetName val="3w_Look_ahead"/>
      <sheetName val="P6_13SEP"/>
      <sheetName val="REM_x_Día"/>
      <sheetName val="BUG_x_Día"/>
      <sheetName val="EPPR_Ing_CV-007"/>
      <sheetName val="Resumen_HH_Avance_x_task"/>
      <sheetName val="HH_Gastadas"/>
      <sheetName val="Tendencia_PT114"/>
      <sheetName val="Detalle_Gastos_Reembolsables"/>
      <sheetName val="ANEXO_C"/>
      <sheetName val="%_esfuerzo"/>
      <sheetName val="C2_Vendor_CCS"/>
      <sheetName val="C2_Vendor_W2"/>
      <sheetName val="Entr__MEIA"/>
      <sheetName val="Lista_MEIA-2"/>
      <sheetName val="C2_MEIA_Entregables_Posibles"/>
      <sheetName val="Resumen_API"/>
      <sheetName val="INVER_ESCENARIO_PDA"/>
      <sheetName val="Form_uv_CCMC"/>
      <sheetName val="Fom_uv_CCMO"/>
      <sheetName val="Global_CCMC_y_CCMO"/>
      <sheetName val="Calculo_vol_cv"/>
      <sheetName val="HP_CCMC"/>
      <sheetName val="HP_ML"/>
      <sheetName val="HP_CCMO"/>
      <sheetName val="HP_Plo"/>
      <sheetName val="HP_ult_form"/>
      <sheetName val="Xerox_CCMC"/>
      <sheetName val="Xerox_CCMO"/>
      <sheetName val="CANON_CCMC"/>
      <sheetName val="CANON_CCMO"/>
      <sheetName val="RICOH_CCMC"/>
      <sheetName val="RICOH_CCMO"/>
      <sheetName val="RICOH_desglose"/>
      <sheetName val="SONDA_(Lex)_CCMC"/>
      <sheetName val="SONDA_(Lex)CCMO"/>
      <sheetName val="OFI_MUN_CCMC"/>
      <sheetName val="OFI_MUN_CCMO"/>
      <sheetName val="DEIRA_CCMC_Opcion_2"/>
      <sheetName val="DEIRA_CCMO_Opcion_2"/>
      <sheetName val="DEIRA_DESGLOSE_DE_COSTOS"/>
      <sheetName val="DEIRA_REMUNERACIONES"/>
      <sheetName val="DEIRA_Informe_de_compatibilidad"/>
      <sheetName val="Resumen_Eval_Completa"/>
      <sheetName val="Resum_Rev_0"/>
      <sheetName val="Resum_Rev_1"/>
      <sheetName val="Resum_Rev_2"/>
      <sheetName val="Resum_Rev_3_Carta_Act"/>
      <sheetName val="Visión_Resum_Op_Serv"/>
      <sheetName val="Vol_Orig_Rev_0"/>
      <sheetName val="Vol_Ajustado_Rev_1"/>
      <sheetName val="Eval_Econom_Global"/>
      <sheetName val="Vol_Desc_Eco_Glob_JM_desc_"/>
      <sheetName val="Vol_Act_Precio_Dólar"/>
      <sheetName val="6_6b_FORM_COT_RIEG-cs_Vol_Orig"/>
      <sheetName val="6_6b_FORM_COT_RIEG_cs__Vol_Ajus"/>
      <sheetName val="6_6b_FORM_COT_RIEGO-AGUA_ss"/>
      <sheetName val="6_6c_FORM_COT_TAS__CCMC-CCMO_ss"/>
      <sheetName val="_6_6c_FORM_COT_MAS_sin_AjVol_cs"/>
      <sheetName val="_6_6c_FORM_COT_MAS_Vol_Ajus_cs"/>
      <sheetName val="Cost_Actual_y_Budget"/>
      <sheetName val="Eval_Téc_MAS"/>
      <sheetName val="Eval_Téc_RAA"/>
      <sheetName val="M_AMBIENTE"/>
      <sheetName val="EVAL_PREV_RIESGOS"/>
      <sheetName val="EVAL_FINANC"/>
      <sheetName val="RESUM_RECURSOS"/>
      <sheetName val="COMP_REMUNERACIONES"/>
      <sheetName val="IGA_2000"/>
      <sheetName val="Resumen_EP_x_Fac"/>
      <sheetName val="Resumen_EP"/>
      <sheetName val="Resumen_EP_x_Item"/>
      <sheetName val="EP-32_"/>
      <sheetName val="BASES_MONETARIAS"/>
      <sheetName val="AUX"/>
      <sheetName val="BD_TOT"/>
      <sheetName val="steel"/>
      <sheetName val="DOBLE H1-Z4"/>
      <sheetName val="prices"/>
      <sheetName val="JUMBOS"/>
      <sheetName val="LCO mec"/>
      <sheetName val="Misc"/>
      <sheetName val="Valorización Valle"/>
      <sheetName val="Informe"/>
      <sheetName val="costo unitario"/>
      <sheetName val="mensuales"/>
      <sheetName val="Nva Bas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 refreshError="1"/>
      <sheetData sheetId="900"/>
      <sheetData sheetId="901" refreshError="1"/>
      <sheetData sheetId="902" refreshError="1"/>
      <sheetData sheetId="90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DHITO"/>
      <sheetName val="INC"/>
      <sheetName val="RES"/>
      <sheetName val="AVF"/>
      <sheetName val="CMON"/>
      <sheetName val="RESU"/>
      <sheetName val="RH"/>
      <sheetName val="RGL"/>
      <sheetName val="RG"/>
      <sheetName val="RF"/>
      <sheetName val="RD"/>
    </sheetNames>
    <sheetDataSet>
      <sheetData sheetId="0"/>
      <sheetData sheetId="1"/>
      <sheetData sheetId="2"/>
      <sheetData sheetId="3">
        <row r="5">
          <cell r="H5">
            <v>37468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ITO"/>
      <sheetName val="DATOS"/>
      <sheetName val="INC"/>
      <sheetName val="RES"/>
      <sheetName val="AVF"/>
      <sheetName val="CMON"/>
      <sheetName val="RH"/>
      <sheetName val="RGL"/>
      <sheetName val="RG"/>
      <sheetName val="RF"/>
      <sheetName val="RD"/>
      <sheetName val="RESU"/>
      <sheetName val="Informe Anual"/>
      <sheetName val="Informe Proy"/>
    </sheetNames>
    <sheetDataSet>
      <sheetData sheetId="0"/>
      <sheetData sheetId="1">
        <row r="2">
          <cell r="C2" t="str">
            <v>AQUILES ALEGRIA O.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"/>
      <sheetName val="A"/>
      <sheetName val="D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SP</v>
          </cell>
          <cell r="D3">
            <v>1</v>
          </cell>
          <cell r="E3">
            <v>37347</v>
          </cell>
          <cell r="L3">
            <v>0</v>
          </cell>
        </row>
        <row r="4">
          <cell r="C4" t="str">
            <v>SP</v>
          </cell>
          <cell r="D4">
            <v>2</v>
          </cell>
          <cell r="E4">
            <v>37377</v>
          </cell>
          <cell r="L4">
            <v>-6134.7</v>
          </cell>
        </row>
        <row r="5">
          <cell r="C5" t="str">
            <v>SP</v>
          </cell>
          <cell r="D5">
            <v>3</v>
          </cell>
          <cell r="E5">
            <v>37408</v>
          </cell>
          <cell r="L5">
            <v>0</v>
          </cell>
        </row>
        <row r="6">
          <cell r="C6" t="str">
            <v>SP</v>
          </cell>
          <cell r="D6">
            <v>4</v>
          </cell>
          <cell r="E6">
            <v>37438</v>
          </cell>
          <cell r="L6">
            <v>-1676.16</v>
          </cell>
        </row>
        <row r="7">
          <cell r="C7" t="str">
            <v>SP</v>
          </cell>
          <cell r="D7">
            <v>5</v>
          </cell>
          <cell r="E7">
            <v>37469</v>
          </cell>
          <cell r="L7">
            <v>-1324.8</v>
          </cell>
        </row>
        <row r="8">
          <cell r="C8" t="str">
            <v>SP</v>
          </cell>
          <cell r="D8">
            <v>6</v>
          </cell>
          <cell r="E8">
            <v>37500</v>
          </cell>
          <cell r="L8">
            <v>-288</v>
          </cell>
        </row>
        <row r="9">
          <cell r="C9" t="str">
            <v>SP</v>
          </cell>
          <cell r="D9">
            <v>7</v>
          </cell>
          <cell r="E9">
            <v>37530</v>
          </cell>
          <cell r="L9">
            <v>-1462.8</v>
          </cell>
        </row>
        <row r="10">
          <cell r="C10" t="str">
            <v>SP</v>
          </cell>
          <cell r="D10">
            <v>8</v>
          </cell>
          <cell r="E10">
            <v>37561</v>
          </cell>
          <cell r="L10">
            <v>0</v>
          </cell>
        </row>
        <row r="11">
          <cell r="C11" t="str">
            <v>SP</v>
          </cell>
          <cell r="D11">
            <v>9</v>
          </cell>
          <cell r="E11">
            <v>37591</v>
          </cell>
          <cell r="L11">
            <v>-288</v>
          </cell>
        </row>
        <row r="12">
          <cell r="C12" t="str">
            <v>SP</v>
          </cell>
          <cell r="D12">
            <v>10</v>
          </cell>
          <cell r="E12">
            <v>37591</v>
          </cell>
          <cell r="L12">
            <v>-2727.7</v>
          </cell>
        </row>
        <row r="13">
          <cell r="C13" t="str">
            <v>SP</v>
          </cell>
          <cell r="D13">
            <v>11</v>
          </cell>
          <cell r="E13">
            <v>37591</v>
          </cell>
          <cell r="L13">
            <v>-4055.45</v>
          </cell>
        </row>
        <row r="14">
          <cell r="C14" t="str">
            <v>SP</v>
          </cell>
          <cell r="D14">
            <v>12</v>
          </cell>
          <cell r="E14">
            <v>37591</v>
          </cell>
        </row>
        <row r="15">
          <cell r="C15" t="str">
            <v>SP</v>
          </cell>
          <cell r="D15">
            <v>13</v>
          </cell>
          <cell r="E15">
            <v>37591</v>
          </cell>
        </row>
        <row r="16">
          <cell r="C16" t="str">
            <v>SP</v>
          </cell>
          <cell r="D16">
            <v>1</v>
          </cell>
          <cell r="E16">
            <v>37347</v>
          </cell>
          <cell r="L16">
            <v>0</v>
          </cell>
        </row>
        <row r="17">
          <cell r="C17" t="str">
            <v>SP</v>
          </cell>
          <cell r="D17">
            <v>2</v>
          </cell>
          <cell r="E17">
            <v>37377</v>
          </cell>
          <cell r="L17">
            <v>-495.14</v>
          </cell>
        </row>
        <row r="18">
          <cell r="C18" t="str">
            <v>SP</v>
          </cell>
          <cell r="D18">
            <v>3</v>
          </cell>
          <cell r="E18">
            <v>37408</v>
          </cell>
          <cell r="L18">
            <v>-301.22000000000003</v>
          </cell>
        </row>
        <row r="19">
          <cell r="C19" t="str">
            <v>SP</v>
          </cell>
          <cell r="D19">
            <v>4</v>
          </cell>
          <cell r="E19">
            <v>37438</v>
          </cell>
          <cell r="L19">
            <v>-399.96</v>
          </cell>
        </row>
        <row r="20">
          <cell r="C20" t="str">
            <v>SP</v>
          </cell>
          <cell r="D20">
            <v>5</v>
          </cell>
          <cell r="E20">
            <v>37469</v>
          </cell>
          <cell r="L20">
            <v>-1607.55</v>
          </cell>
        </row>
        <row r="21">
          <cell r="C21" t="str">
            <v>SP</v>
          </cell>
          <cell r="D21">
            <v>6</v>
          </cell>
          <cell r="E21">
            <v>37500</v>
          </cell>
          <cell r="L21">
            <v>-1786.46</v>
          </cell>
        </row>
        <row r="22">
          <cell r="C22" t="str">
            <v>SP</v>
          </cell>
          <cell r="D22">
            <v>7</v>
          </cell>
          <cell r="E22">
            <v>37530</v>
          </cell>
          <cell r="L22">
            <v>-665.01</v>
          </cell>
        </row>
        <row r="23">
          <cell r="C23" t="str">
            <v>SP</v>
          </cell>
          <cell r="D23">
            <v>8</v>
          </cell>
          <cell r="E23">
            <v>37561</v>
          </cell>
          <cell r="L23">
            <v>-4122.8900000000003</v>
          </cell>
        </row>
        <row r="24">
          <cell r="C24" t="str">
            <v>SP</v>
          </cell>
          <cell r="D24">
            <v>9</v>
          </cell>
          <cell r="E24">
            <v>37591</v>
          </cell>
          <cell r="L24">
            <v>-474.12</v>
          </cell>
        </row>
        <row r="25">
          <cell r="C25" t="str">
            <v>SP</v>
          </cell>
          <cell r="D25">
            <v>10</v>
          </cell>
          <cell r="E25">
            <v>37591</v>
          </cell>
          <cell r="L25">
            <v>-1508.86</v>
          </cell>
        </row>
        <row r="26">
          <cell r="C26" t="str">
            <v>SP</v>
          </cell>
          <cell r="D26">
            <v>11</v>
          </cell>
          <cell r="E26">
            <v>37591</v>
          </cell>
          <cell r="L26">
            <v>-312.39</v>
          </cell>
        </row>
        <row r="27">
          <cell r="C27" t="str">
            <v>SP</v>
          </cell>
          <cell r="D27">
            <v>12</v>
          </cell>
          <cell r="E27">
            <v>37591</v>
          </cell>
        </row>
        <row r="28">
          <cell r="C28" t="str">
            <v>SP</v>
          </cell>
          <cell r="D28">
            <v>13</v>
          </cell>
          <cell r="E28">
            <v>37591</v>
          </cell>
        </row>
        <row r="29">
          <cell r="C29" t="str">
            <v>SP</v>
          </cell>
          <cell r="D29">
            <v>1</v>
          </cell>
          <cell r="E29">
            <v>37347</v>
          </cell>
          <cell r="L29">
            <v>0</v>
          </cell>
        </row>
        <row r="30">
          <cell r="C30" t="str">
            <v>SP</v>
          </cell>
          <cell r="D30">
            <v>2</v>
          </cell>
          <cell r="E30">
            <v>37377</v>
          </cell>
          <cell r="L30">
            <v>0</v>
          </cell>
        </row>
        <row r="31">
          <cell r="C31" t="str">
            <v>SP</v>
          </cell>
          <cell r="D31">
            <v>3</v>
          </cell>
          <cell r="E31">
            <v>37408</v>
          </cell>
          <cell r="L31">
            <v>0</v>
          </cell>
        </row>
        <row r="32">
          <cell r="C32" t="str">
            <v>SP</v>
          </cell>
          <cell r="D32">
            <v>4</v>
          </cell>
          <cell r="E32">
            <v>37438</v>
          </cell>
          <cell r="L32">
            <v>0</v>
          </cell>
        </row>
        <row r="33">
          <cell r="C33" t="str">
            <v>SP</v>
          </cell>
          <cell r="D33">
            <v>5</v>
          </cell>
          <cell r="E33">
            <v>37469</v>
          </cell>
          <cell r="L33">
            <v>-4906.66</v>
          </cell>
        </row>
        <row r="34">
          <cell r="C34" t="str">
            <v>SP</v>
          </cell>
          <cell r="D34">
            <v>6</v>
          </cell>
          <cell r="E34">
            <v>37500</v>
          </cell>
          <cell r="L34">
            <v>-19626.64</v>
          </cell>
        </row>
        <row r="35">
          <cell r="C35" t="str">
            <v>SP</v>
          </cell>
          <cell r="D35">
            <v>7</v>
          </cell>
          <cell r="E35">
            <v>37530</v>
          </cell>
          <cell r="L35">
            <v>0</v>
          </cell>
        </row>
        <row r="36">
          <cell r="C36" t="str">
            <v>SP</v>
          </cell>
          <cell r="D36">
            <v>8</v>
          </cell>
          <cell r="E36">
            <v>37561</v>
          </cell>
          <cell r="L36">
            <v>-11039.99</v>
          </cell>
        </row>
        <row r="37">
          <cell r="C37" t="str">
            <v>SP</v>
          </cell>
          <cell r="D37">
            <v>9</v>
          </cell>
          <cell r="E37">
            <v>37591</v>
          </cell>
          <cell r="L37">
            <v>-8586.66</v>
          </cell>
        </row>
        <row r="38">
          <cell r="C38" t="str">
            <v>SP</v>
          </cell>
          <cell r="D38">
            <v>10</v>
          </cell>
          <cell r="E38">
            <v>37591</v>
          </cell>
          <cell r="L38">
            <v>-22079.97</v>
          </cell>
        </row>
        <row r="39">
          <cell r="C39" t="str">
            <v>SP</v>
          </cell>
          <cell r="D39">
            <v>11</v>
          </cell>
          <cell r="E39">
            <v>37591</v>
          </cell>
        </row>
        <row r="40">
          <cell r="C40" t="str">
            <v>SP</v>
          </cell>
          <cell r="D40">
            <v>12</v>
          </cell>
          <cell r="E40">
            <v>37591</v>
          </cell>
        </row>
        <row r="41">
          <cell r="C41" t="str">
            <v>SP</v>
          </cell>
          <cell r="D41">
            <v>13</v>
          </cell>
          <cell r="E41">
            <v>37591</v>
          </cell>
        </row>
        <row r="42">
          <cell r="C42" t="str">
            <v>SP</v>
          </cell>
          <cell r="D42">
            <v>1</v>
          </cell>
          <cell r="E42">
            <v>37347</v>
          </cell>
          <cell r="L42">
            <v>0</v>
          </cell>
        </row>
        <row r="43">
          <cell r="C43" t="str">
            <v>SP</v>
          </cell>
          <cell r="D43">
            <v>2</v>
          </cell>
          <cell r="E43">
            <v>37377</v>
          </cell>
          <cell r="L43">
            <v>0</v>
          </cell>
        </row>
        <row r="44">
          <cell r="C44" t="str">
            <v>SP</v>
          </cell>
          <cell r="D44">
            <v>3</v>
          </cell>
          <cell r="E44">
            <v>37408</v>
          </cell>
          <cell r="L44">
            <v>0</v>
          </cell>
        </row>
        <row r="45">
          <cell r="C45" t="str">
            <v>SP</v>
          </cell>
          <cell r="D45">
            <v>4</v>
          </cell>
          <cell r="E45">
            <v>37438</v>
          </cell>
          <cell r="L45">
            <v>-2150</v>
          </cell>
        </row>
        <row r="46">
          <cell r="C46" t="str">
            <v>SP</v>
          </cell>
          <cell r="D46">
            <v>5</v>
          </cell>
          <cell r="E46">
            <v>37469</v>
          </cell>
          <cell r="L46">
            <v>-1076.75</v>
          </cell>
        </row>
        <row r="47">
          <cell r="C47" t="str">
            <v>SP</v>
          </cell>
          <cell r="D47">
            <v>6</v>
          </cell>
          <cell r="E47">
            <v>37500</v>
          </cell>
          <cell r="L47">
            <v>-3528.25</v>
          </cell>
        </row>
        <row r="48">
          <cell r="C48" t="str">
            <v>SP</v>
          </cell>
          <cell r="D48">
            <v>7</v>
          </cell>
          <cell r="E48">
            <v>37530</v>
          </cell>
          <cell r="L48">
            <v>-2688.75</v>
          </cell>
        </row>
        <row r="49">
          <cell r="C49" t="str">
            <v>SP</v>
          </cell>
          <cell r="D49">
            <v>8</v>
          </cell>
          <cell r="E49">
            <v>37561</v>
          </cell>
          <cell r="L49">
            <v>-3200</v>
          </cell>
        </row>
        <row r="50">
          <cell r="C50" t="str">
            <v>SP</v>
          </cell>
          <cell r="D50">
            <v>9</v>
          </cell>
          <cell r="E50">
            <v>37591</v>
          </cell>
          <cell r="L50">
            <v>-6074.75</v>
          </cell>
        </row>
        <row r="51">
          <cell r="C51" t="str">
            <v>SP</v>
          </cell>
          <cell r="D51">
            <v>10</v>
          </cell>
          <cell r="E51">
            <v>37591</v>
          </cell>
          <cell r="L51">
            <v>-5619.25</v>
          </cell>
        </row>
        <row r="52">
          <cell r="C52" t="str">
            <v>SP</v>
          </cell>
          <cell r="D52">
            <v>11</v>
          </cell>
          <cell r="E52">
            <v>37591</v>
          </cell>
        </row>
        <row r="53">
          <cell r="C53" t="str">
            <v>SP</v>
          </cell>
          <cell r="D53">
            <v>12</v>
          </cell>
          <cell r="E53">
            <v>37591</v>
          </cell>
        </row>
        <row r="54">
          <cell r="C54" t="str">
            <v>SP</v>
          </cell>
          <cell r="D54">
            <v>13</v>
          </cell>
          <cell r="E54">
            <v>37591</v>
          </cell>
        </row>
        <row r="55">
          <cell r="C55" t="str">
            <v>SP</v>
          </cell>
          <cell r="D55">
            <v>1</v>
          </cell>
        </row>
        <row r="56">
          <cell r="C56" t="str">
            <v>SP</v>
          </cell>
          <cell r="D56">
            <v>2</v>
          </cell>
        </row>
        <row r="57">
          <cell r="C57" t="str">
            <v>SP</v>
          </cell>
          <cell r="D57">
            <v>3</v>
          </cell>
        </row>
        <row r="58">
          <cell r="C58" t="str">
            <v>SP</v>
          </cell>
          <cell r="D58">
            <v>4</v>
          </cell>
        </row>
        <row r="59">
          <cell r="C59" t="str">
            <v>SP</v>
          </cell>
          <cell r="D59">
            <v>5</v>
          </cell>
        </row>
        <row r="60">
          <cell r="C60" t="str">
            <v>SP</v>
          </cell>
          <cell r="D60">
            <v>6</v>
          </cell>
        </row>
        <row r="61">
          <cell r="C61" t="str">
            <v>SP</v>
          </cell>
          <cell r="D61">
            <v>7</v>
          </cell>
        </row>
        <row r="62">
          <cell r="C62" t="str">
            <v>SP</v>
          </cell>
          <cell r="D62">
            <v>8</v>
          </cell>
        </row>
        <row r="63">
          <cell r="C63" t="str">
            <v>SP</v>
          </cell>
          <cell r="D63">
            <v>9</v>
          </cell>
        </row>
        <row r="64">
          <cell r="C64" t="str">
            <v>SP</v>
          </cell>
          <cell r="D64">
            <v>10</v>
          </cell>
          <cell r="L64">
            <v>-19492.43</v>
          </cell>
        </row>
        <row r="65">
          <cell r="C65" t="str">
            <v>SP</v>
          </cell>
          <cell r="D65">
            <v>11</v>
          </cell>
          <cell r="L65">
            <v>-19492.43</v>
          </cell>
        </row>
        <row r="66">
          <cell r="C66" t="str">
            <v>SP</v>
          </cell>
          <cell r="D66">
            <v>12</v>
          </cell>
        </row>
        <row r="67">
          <cell r="C67" t="str">
            <v>SP</v>
          </cell>
          <cell r="D67">
            <v>13</v>
          </cell>
        </row>
        <row r="68">
          <cell r="C68" t="str">
            <v>SP</v>
          </cell>
          <cell r="D68">
            <v>1</v>
          </cell>
          <cell r="E68">
            <v>37347</v>
          </cell>
          <cell r="L68">
            <v>0</v>
          </cell>
        </row>
        <row r="69">
          <cell r="C69" t="str">
            <v>SP</v>
          </cell>
          <cell r="D69">
            <v>2</v>
          </cell>
          <cell r="E69">
            <v>37377</v>
          </cell>
          <cell r="L69">
            <v>35978.5</v>
          </cell>
        </row>
        <row r="70">
          <cell r="C70" t="str">
            <v>SP</v>
          </cell>
          <cell r="D70">
            <v>3</v>
          </cell>
          <cell r="E70">
            <v>37408</v>
          </cell>
          <cell r="L70">
            <v>0</v>
          </cell>
        </row>
        <row r="71">
          <cell r="C71" t="str">
            <v>SP</v>
          </cell>
          <cell r="D71">
            <v>4</v>
          </cell>
          <cell r="E71">
            <v>37438</v>
          </cell>
          <cell r="L71">
            <v>22720.799999999999</v>
          </cell>
        </row>
        <row r="72">
          <cell r="C72" t="str">
            <v>SP</v>
          </cell>
          <cell r="D72">
            <v>5</v>
          </cell>
          <cell r="E72">
            <v>37469</v>
          </cell>
          <cell r="L72">
            <v>15888</v>
          </cell>
        </row>
        <row r="73">
          <cell r="C73" t="str">
            <v>SP</v>
          </cell>
          <cell r="D73">
            <v>6</v>
          </cell>
          <cell r="E73">
            <v>37500</v>
          </cell>
          <cell r="L73">
            <v>7508</v>
          </cell>
        </row>
        <row r="74">
          <cell r="C74" t="str">
            <v>SP</v>
          </cell>
          <cell r="D74">
            <v>7</v>
          </cell>
          <cell r="E74">
            <v>37530</v>
          </cell>
          <cell r="L74">
            <v>11960</v>
          </cell>
        </row>
        <row r="75">
          <cell r="C75" t="str">
            <v>SP</v>
          </cell>
          <cell r="D75">
            <v>8</v>
          </cell>
          <cell r="E75">
            <v>37561</v>
          </cell>
          <cell r="L75">
            <v>0</v>
          </cell>
        </row>
        <row r="76">
          <cell r="C76" t="str">
            <v>SP</v>
          </cell>
          <cell r="D76">
            <v>9</v>
          </cell>
          <cell r="E76">
            <v>37591</v>
          </cell>
          <cell r="L76">
            <v>13634</v>
          </cell>
        </row>
        <row r="77">
          <cell r="C77" t="str">
            <v>SP</v>
          </cell>
          <cell r="D77">
            <v>10</v>
          </cell>
          <cell r="E77">
            <v>37591</v>
          </cell>
          <cell r="L77">
            <v>18930.5</v>
          </cell>
        </row>
        <row r="78">
          <cell r="C78" t="str">
            <v>SP</v>
          </cell>
          <cell r="D78">
            <v>11</v>
          </cell>
          <cell r="E78">
            <v>37591</v>
          </cell>
          <cell r="L78">
            <v>28791.5</v>
          </cell>
        </row>
        <row r="79">
          <cell r="C79" t="str">
            <v>SP</v>
          </cell>
          <cell r="D79">
            <v>12</v>
          </cell>
          <cell r="E79">
            <v>37591</v>
          </cell>
        </row>
        <row r="80">
          <cell r="C80" t="str">
            <v>SP</v>
          </cell>
          <cell r="D80">
            <v>13</v>
          </cell>
          <cell r="E80">
            <v>37591</v>
          </cell>
        </row>
        <row r="81">
          <cell r="C81" t="str">
            <v>SP</v>
          </cell>
          <cell r="D81">
            <v>1</v>
          </cell>
          <cell r="E81">
            <v>37347</v>
          </cell>
          <cell r="L81">
            <v>0</v>
          </cell>
        </row>
        <row r="82">
          <cell r="C82" t="str">
            <v>SP</v>
          </cell>
          <cell r="D82">
            <v>2</v>
          </cell>
          <cell r="E82">
            <v>37377</v>
          </cell>
          <cell r="L82">
            <v>4700.92</v>
          </cell>
        </row>
        <row r="83">
          <cell r="C83" t="str">
            <v>SP</v>
          </cell>
          <cell r="D83">
            <v>3</v>
          </cell>
          <cell r="E83">
            <v>37408</v>
          </cell>
          <cell r="L83">
            <v>4997.58</v>
          </cell>
        </row>
        <row r="84">
          <cell r="C84" t="str">
            <v>SP</v>
          </cell>
          <cell r="D84">
            <v>4</v>
          </cell>
          <cell r="E84">
            <v>37438</v>
          </cell>
          <cell r="L84">
            <v>4541.18</v>
          </cell>
        </row>
        <row r="85">
          <cell r="C85" t="str">
            <v>SP</v>
          </cell>
          <cell r="D85">
            <v>5</v>
          </cell>
          <cell r="E85">
            <v>37469</v>
          </cell>
          <cell r="L85">
            <v>4176.0600000000004</v>
          </cell>
        </row>
        <row r="86">
          <cell r="C86" t="str">
            <v>SP</v>
          </cell>
          <cell r="D86">
            <v>6</v>
          </cell>
          <cell r="E86">
            <v>37500</v>
          </cell>
          <cell r="L86">
            <v>3742.48</v>
          </cell>
        </row>
        <row r="87">
          <cell r="C87" t="str">
            <v>SP</v>
          </cell>
          <cell r="D87">
            <v>7</v>
          </cell>
          <cell r="E87">
            <v>37530</v>
          </cell>
          <cell r="L87">
            <v>4541.18</v>
          </cell>
        </row>
        <row r="88">
          <cell r="C88" t="str">
            <v>SP</v>
          </cell>
          <cell r="D88">
            <v>8</v>
          </cell>
          <cell r="E88">
            <v>37561</v>
          </cell>
          <cell r="L88">
            <v>2487.38</v>
          </cell>
        </row>
        <row r="89">
          <cell r="C89" t="str">
            <v>SP</v>
          </cell>
          <cell r="D89">
            <v>9</v>
          </cell>
          <cell r="E89">
            <v>37591</v>
          </cell>
          <cell r="L89">
            <v>889.98</v>
          </cell>
        </row>
        <row r="90">
          <cell r="C90" t="str">
            <v>SP</v>
          </cell>
          <cell r="D90">
            <v>10</v>
          </cell>
          <cell r="E90">
            <v>37591</v>
          </cell>
          <cell r="L90">
            <v>11090.52</v>
          </cell>
        </row>
        <row r="91">
          <cell r="C91" t="str">
            <v>SP</v>
          </cell>
          <cell r="D91">
            <v>11</v>
          </cell>
          <cell r="E91">
            <v>37591</v>
          </cell>
          <cell r="L91">
            <v>6800.36</v>
          </cell>
        </row>
        <row r="92">
          <cell r="C92" t="str">
            <v>SP</v>
          </cell>
          <cell r="D92">
            <v>12</v>
          </cell>
          <cell r="E92">
            <v>37591</v>
          </cell>
          <cell r="L92">
            <v>11826</v>
          </cell>
        </row>
        <row r="93">
          <cell r="C93" t="str">
            <v>SP</v>
          </cell>
          <cell r="D93">
            <v>13</v>
          </cell>
          <cell r="E93">
            <v>37591</v>
          </cell>
          <cell r="L93">
            <v>14344</v>
          </cell>
        </row>
        <row r="94">
          <cell r="C94" t="str">
            <v>SP</v>
          </cell>
          <cell r="D94">
            <v>1</v>
          </cell>
          <cell r="E94">
            <v>37347</v>
          </cell>
          <cell r="L94">
            <v>0</v>
          </cell>
        </row>
        <row r="95">
          <cell r="C95" t="str">
            <v>SP</v>
          </cell>
          <cell r="D95">
            <v>2</v>
          </cell>
          <cell r="E95">
            <v>37377</v>
          </cell>
          <cell r="L95">
            <v>546.77</v>
          </cell>
        </row>
        <row r="96">
          <cell r="C96" t="str">
            <v>SP</v>
          </cell>
          <cell r="D96">
            <v>3</v>
          </cell>
          <cell r="E96">
            <v>37408</v>
          </cell>
          <cell r="L96">
            <v>0</v>
          </cell>
        </row>
        <row r="97">
          <cell r="C97" t="str">
            <v>SP</v>
          </cell>
          <cell r="D97">
            <v>4</v>
          </cell>
          <cell r="E97">
            <v>37438</v>
          </cell>
          <cell r="L97">
            <v>682.45</v>
          </cell>
        </row>
        <row r="98">
          <cell r="C98" t="str">
            <v>SP</v>
          </cell>
          <cell r="D98">
            <v>5</v>
          </cell>
          <cell r="E98">
            <v>37469</v>
          </cell>
          <cell r="L98">
            <v>477.52</v>
          </cell>
        </row>
        <row r="99">
          <cell r="C99" t="str">
            <v>SP</v>
          </cell>
          <cell r="D99">
            <v>6</v>
          </cell>
          <cell r="E99">
            <v>37500</v>
          </cell>
          <cell r="L99">
            <v>225.36</v>
          </cell>
        </row>
        <row r="100">
          <cell r="C100" t="str">
            <v>SP</v>
          </cell>
          <cell r="D100">
            <v>7</v>
          </cell>
          <cell r="E100">
            <v>37530</v>
          </cell>
          <cell r="L100">
            <v>373.58</v>
          </cell>
        </row>
        <row r="101">
          <cell r="C101" t="str">
            <v>SP</v>
          </cell>
          <cell r="D101">
            <v>8</v>
          </cell>
          <cell r="E101">
            <v>37561</v>
          </cell>
          <cell r="L101">
            <v>0</v>
          </cell>
        </row>
        <row r="102">
          <cell r="C102" t="str">
            <v>SP</v>
          </cell>
          <cell r="D102">
            <v>9</v>
          </cell>
          <cell r="E102">
            <v>37591</v>
          </cell>
          <cell r="L102">
            <v>243.09</v>
          </cell>
        </row>
        <row r="103">
          <cell r="C103" t="str">
            <v>SP</v>
          </cell>
          <cell r="D103">
            <v>10</v>
          </cell>
          <cell r="E103">
            <v>37591</v>
          </cell>
          <cell r="L103">
            <v>578.16</v>
          </cell>
        </row>
        <row r="104">
          <cell r="C104" t="str">
            <v>SP</v>
          </cell>
          <cell r="D104">
            <v>11</v>
          </cell>
          <cell r="E104">
            <v>37591</v>
          </cell>
          <cell r="L104">
            <v>427.05</v>
          </cell>
        </row>
        <row r="105">
          <cell r="C105" t="str">
            <v>SP</v>
          </cell>
          <cell r="D105">
            <v>12</v>
          </cell>
          <cell r="E105">
            <v>37591</v>
          </cell>
          <cell r="L105">
            <v>4415</v>
          </cell>
        </row>
        <row r="106">
          <cell r="C106" t="str">
            <v>SP</v>
          </cell>
          <cell r="D106">
            <v>13</v>
          </cell>
          <cell r="E106">
            <v>37591</v>
          </cell>
        </row>
        <row r="107">
          <cell r="C107" t="str">
            <v>SP</v>
          </cell>
          <cell r="D107">
            <v>1</v>
          </cell>
          <cell r="E107">
            <v>37347</v>
          </cell>
          <cell r="L107">
            <v>0</v>
          </cell>
        </row>
        <row r="108">
          <cell r="C108" t="str">
            <v>SP</v>
          </cell>
          <cell r="D108">
            <v>2</v>
          </cell>
          <cell r="E108">
            <v>37377</v>
          </cell>
          <cell r="L108">
            <v>103599.15</v>
          </cell>
        </row>
        <row r="109">
          <cell r="C109" t="str">
            <v>SP</v>
          </cell>
          <cell r="D109">
            <v>3</v>
          </cell>
          <cell r="E109">
            <v>37408</v>
          </cell>
          <cell r="L109">
            <v>118842.35</v>
          </cell>
        </row>
        <row r="110">
          <cell r="C110" t="str">
            <v>SP</v>
          </cell>
          <cell r="D110">
            <v>4</v>
          </cell>
          <cell r="E110">
            <v>37438</v>
          </cell>
          <cell r="L110">
            <v>97490.15</v>
          </cell>
        </row>
        <row r="111">
          <cell r="C111" t="str">
            <v>SP</v>
          </cell>
          <cell r="D111">
            <v>5</v>
          </cell>
          <cell r="E111">
            <v>37469</v>
          </cell>
          <cell r="L111">
            <v>96234.6</v>
          </cell>
        </row>
        <row r="112">
          <cell r="C112" t="str">
            <v>SP</v>
          </cell>
          <cell r="D112">
            <v>6</v>
          </cell>
          <cell r="E112">
            <v>37500</v>
          </cell>
          <cell r="L112">
            <v>99732.5</v>
          </cell>
        </row>
        <row r="113">
          <cell r="C113" t="str">
            <v>SP</v>
          </cell>
          <cell r="D113">
            <v>7</v>
          </cell>
          <cell r="E113">
            <v>37530</v>
          </cell>
          <cell r="L113">
            <v>104011.45</v>
          </cell>
        </row>
        <row r="114">
          <cell r="C114" t="str">
            <v>SP</v>
          </cell>
          <cell r="D114">
            <v>8</v>
          </cell>
          <cell r="E114">
            <v>37561</v>
          </cell>
          <cell r="L114">
            <v>57015</v>
          </cell>
        </row>
        <row r="115">
          <cell r="C115" t="str">
            <v>SP</v>
          </cell>
          <cell r="D115">
            <v>9</v>
          </cell>
          <cell r="E115">
            <v>37591</v>
          </cell>
          <cell r="L115">
            <v>23449.45</v>
          </cell>
        </row>
        <row r="116">
          <cell r="C116" t="str">
            <v>SP</v>
          </cell>
          <cell r="D116">
            <v>10</v>
          </cell>
          <cell r="E116">
            <v>37591</v>
          </cell>
          <cell r="L116">
            <v>257007.3</v>
          </cell>
        </row>
        <row r="117">
          <cell r="C117" t="str">
            <v>SP</v>
          </cell>
          <cell r="D117">
            <v>11</v>
          </cell>
          <cell r="E117">
            <v>37591</v>
          </cell>
          <cell r="L117">
            <v>165632.65</v>
          </cell>
        </row>
        <row r="118">
          <cell r="C118" t="str">
            <v>SP</v>
          </cell>
          <cell r="D118">
            <v>12</v>
          </cell>
          <cell r="E118">
            <v>37591</v>
          </cell>
          <cell r="L118">
            <v>280174</v>
          </cell>
        </row>
        <row r="119">
          <cell r="C119" t="str">
            <v>SP</v>
          </cell>
          <cell r="D119">
            <v>13</v>
          </cell>
          <cell r="E119">
            <v>37591</v>
          </cell>
          <cell r="L119">
            <v>459710</v>
          </cell>
        </row>
        <row r="120">
          <cell r="C120" t="str">
            <v>SP</v>
          </cell>
          <cell r="D120">
            <v>1</v>
          </cell>
          <cell r="E120">
            <v>37347</v>
          </cell>
          <cell r="L120">
            <v>11970</v>
          </cell>
        </row>
        <row r="121">
          <cell r="C121" t="str">
            <v>SP</v>
          </cell>
          <cell r="D121">
            <v>2</v>
          </cell>
          <cell r="E121">
            <v>37377</v>
          </cell>
          <cell r="L121">
            <v>0</v>
          </cell>
        </row>
        <row r="122">
          <cell r="C122" t="str">
            <v>SP</v>
          </cell>
          <cell r="D122">
            <v>3</v>
          </cell>
          <cell r="E122">
            <v>37408</v>
          </cell>
          <cell r="L122">
            <v>0</v>
          </cell>
        </row>
        <row r="123">
          <cell r="C123" t="str">
            <v>SP</v>
          </cell>
          <cell r="D123">
            <v>4</v>
          </cell>
          <cell r="E123">
            <v>37438</v>
          </cell>
          <cell r="L123">
            <v>0</v>
          </cell>
        </row>
        <row r="124">
          <cell r="C124" t="str">
            <v>SP</v>
          </cell>
          <cell r="D124">
            <v>5</v>
          </cell>
          <cell r="E124">
            <v>37469</v>
          </cell>
          <cell r="L124">
            <v>0</v>
          </cell>
        </row>
        <row r="125">
          <cell r="C125" t="str">
            <v>SP</v>
          </cell>
          <cell r="D125">
            <v>6</v>
          </cell>
          <cell r="E125">
            <v>37500</v>
          </cell>
          <cell r="L125">
            <v>0</v>
          </cell>
        </row>
        <row r="126">
          <cell r="C126" t="str">
            <v>SP</v>
          </cell>
          <cell r="D126">
            <v>7</v>
          </cell>
          <cell r="E126">
            <v>37530</v>
          </cell>
          <cell r="L126">
            <v>0</v>
          </cell>
        </row>
        <row r="127">
          <cell r="C127" t="str">
            <v>SP</v>
          </cell>
          <cell r="D127">
            <v>8</v>
          </cell>
          <cell r="E127">
            <v>37561</v>
          </cell>
        </row>
        <row r="128">
          <cell r="C128" t="str">
            <v>SP</v>
          </cell>
          <cell r="D128">
            <v>9</v>
          </cell>
          <cell r="E128">
            <v>37591</v>
          </cell>
          <cell r="L128">
            <v>0</v>
          </cell>
        </row>
        <row r="129">
          <cell r="C129" t="str">
            <v>SP</v>
          </cell>
          <cell r="D129">
            <v>10</v>
          </cell>
          <cell r="E129">
            <v>37591</v>
          </cell>
        </row>
        <row r="130">
          <cell r="C130" t="str">
            <v>SP</v>
          </cell>
          <cell r="D130">
            <v>11</v>
          </cell>
          <cell r="E130">
            <v>37591</v>
          </cell>
        </row>
        <row r="131">
          <cell r="C131" t="str">
            <v>SP</v>
          </cell>
          <cell r="D131">
            <v>12</v>
          </cell>
          <cell r="E131">
            <v>37591</v>
          </cell>
        </row>
        <row r="132">
          <cell r="C132" t="str">
            <v>SP</v>
          </cell>
          <cell r="D132">
            <v>13</v>
          </cell>
          <cell r="E132">
            <v>37591</v>
          </cell>
          <cell r="L132">
            <v>27548</v>
          </cell>
        </row>
        <row r="133">
          <cell r="C133" t="str">
            <v>SP</v>
          </cell>
          <cell r="D133">
            <v>1</v>
          </cell>
          <cell r="E133">
            <v>37347</v>
          </cell>
          <cell r="L133">
            <v>0</v>
          </cell>
        </row>
        <row r="134">
          <cell r="C134" t="str">
            <v>SP</v>
          </cell>
          <cell r="D134">
            <v>2</v>
          </cell>
          <cell r="E134">
            <v>37377</v>
          </cell>
          <cell r="L134">
            <v>5817.6</v>
          </cell>
        </row>
        <row r="135">
          <cell r="C135" t="str">
            <v>SP</v>
          </cell>
          <cell r="D135">
            <v>3</v>
          </cell>
          <cell r="E135">
            <v>37408</v>
          </cell>
          <cell r="L135">
            <v>1864.8</v>
          </cell>
        </row>
        <row r="136">
          <cell r="C136" t="str">
            <v>SP</v>
          </cell>
          <cell r="D136">
            <v>4</v>
          </cell>
          <cell r="E136">
            <v>37438</v>
          </cell>
          <cell r="L136">
            <v>3195.36</v>
          </cell>
        </row>
        <row r="137">
          <cell r="C137" t="str">
            <v>SP</v>
          </cell>
          <cell r="D137">
            <v>5</v>
          </cell>
          <cell r="E137">
            <v>37469</v>
          </cell>
          <cell r="L137">
            <v>1162.08</v>
          </cell>
        </row>
        <row r="138">
          <cell r="C138" t="str">
            <v>SP</v>
          </cell>
          <cell r="D138">
            <v>6</v>
          </cell>
          <cell r="E138">
            <v>37500</v>
          </cell>
          <cell r="L138">
            <v>1872</v>
          </cell>
        </row>
        <row r="139">
          <cell r="C139" t="str">
            <v>SP</v>
          </cell>
          <cell r="D139">
            <v>7</v>
          </cell>
          <cell r="E139">
            <v>37530</v>
          </cell>
          <cell r="L139">
            <v>576</v>
          </cell>
        </row>
        <row r="140">
          <cell r="C140" t="str">
            <v>SP</v>
          </cell>
          <cell r="D140">
            <v>8</v>
          </cell>
          <cell r="E140">
            <v>37561</v>
          </cell>
          <cell r="L140">
            <v>576</v>
          </cell>
        </row>
        <row r="141">
          <cell r="C141" t="str">
            <v>SP</v>
          </cell>
          <cell r="D141">
            <v>9</v>
          </cell>
          <cell r="E141">
            <v>37591</v>
          </cell>
          <cell r="L141">
            <v>576</v>
          </cell>
        </row>
        <row r="142">
          <cell r="C142" t="str">
            <v>SP</v>
          </cell>
          <cell r="D142">
            <v>10</v>
          </cell>
          <cell r="E142">
            <v>37591</v>
          </cell>
          <cell r="L142">
            <v>1651.68</v>
          </cell>
        </row>
        <row r="143">
          <cell r="C143" t="str">
            <v>SP</v>
          </cell>
          <cell r="D143">
            <v>11</v>
          </cell>
          <cell r="E143">
            <v>37591</v>
          </cell>
          <cell r="L143">
            <v>5021.28</v>
          </cell>
        </row>
        <row r="144">
          <cell r="C144" t="str">
            <v>SP</v>
          </cell>
          <cell r="D144">
            <v>12</v>
          </cell>
          <cell r="E144">
            <v>37591</v>
          </cell>
          <cell r="L144">
            <v>2985</v>
          </cell>
        </row>
        <row r="145">
          <cell r="C145" t="str">
            <v>SP</v>
          </cell>
          <cell r="D145">
            <v>13</v>
          </cell>
          <cell r="E145">
            <v>37591</v>
          </cell>
          <cell r="L145">
            <v>3621</v>
          </cell>
        </row>
        <row r="146">
          <cell r="C146" t="str">
            <v>SP</v>
          </cell>
          <cell r="D146">
            <v>1</v>
          </cell>
          <cell r="E146">
            <v>37347</v>
          </cell>
          <cell r="L146">
            <v>0</v>
          </cell>
        </row>
        <row r="147">
          <cell r="C147" t="str">
            <v>SP</v>
          </cell>
          <cell r="D147">
            <v>2</v>
          </cell>
          <cell r="E147">
            <v>37377</v>
          </cell>
          <cell r="L147">
            <v>3592.5</v>
          </cell>
        </row>
        <row r="148">
          <cell r="C148" t="str">
            <v>SP</v>
          </cell>
          <cell r="D148">
            <v>3</v>
          </cell>
          <cell r="E148">
            <v>37408</v>
          </cell>
          <cell r="L148">
            <v>225</v>
          </cell>
        </row>
        <row r="149">
          <cell r="C149" t="str">
            <v>SP</v>
          </cell>
          <cell r="D149">
            <v>4</v>
          </cell>
          <cell r="E149">
            <v>37438</v>
          </cell>
          <cell r="L149">
            <v>3825</v>
          </cell>
        </row>
        <row r="150">
          <cell r="C150" t="str">
            <v>SP</v>
          </cell>
          <cell r="D150">
            <v>5</v>
          </cell>
          <cell r="E150">
            <v>37469</v>
          </cell>
          <cell r="L150">
            <v>1095</v>
          </cell>
        </row>
        <row r="151">
          <cell r="C151" t="str">
            <v>SP</v>
          </cell>
          <cell r="D151">
            <v>6</v>
          </cell>
          <cell r="E151">
            <v>37500</v>
          </cell>
          <cell r="L151">
            <v>645</v>
          </cell>
        </row>
        <row r="152">
          <cell r="C152" t="str">
            <v>SP</v>
          </cell>
          <cell r="D152">
            <v>7</v>
          </cell>
          <cell r="E152">
            <v>37530</v>
          </cell>
          <cell r="L152">
            <v>1290</v>
          </cell>
        </row>
        <row r="153">
          <cell r="C153" t="str">
            <v>SP</v>
          </cell>
          <cell r="D153">
            <v>8</v>
          </cell>
          <cell r="E153">
            <v>37561</v>
          </cell>
          <cell r="L153">
            <v>525</v>
          </cell>
        </row>
        <row r="154">
          <cell r="C154" t="str">
            <v>SP</v>
          </cell>
          <cell r="D154">
            <v>9</v>
          </cell>
          <cell r="E154">
            <v>37591</v>
          </cell>
          <cell r="L154">
            <v>690</v>
          </cell>
        </row>
        <row r="155">
          <cell r="C155" t="str">
            <v>SP</v>
          </cell>
          <cell r="D155">
            <v>10</v>
          </cell>
          <cell r="E155">
            <v>37591</v>
          </cell>
          <cell r="L155">
            <v>28267.5</v>
          </cell>
        </row>
        <row r="156">
          <cell r="C156" t="str">
            <v>SP</v>
          </cell>
          <cell r="D156">
            <v>11</v>
          </cell>
          <cell r="E156">
            <v>37591</v>
          </cell>
          <cell r="L156">
            <v>1650</v>
          </cell>
        </row>
        <row r="157">
          <cell r="C157" t="str">
            <v>SP</v>
          </cell>
          <cell r="D157">
            <v>12</v>
          </cell>
          <cell r="E157">
            <v>37591</v>
          </cell>
          <cell r="L157">
            <v>1650</v>
          </cell>
        </row>
        <row r="158">
          <cell r="C158" t="str">
            <v>SP</v>
          </cell>
          <cell r="D158">
            <v>13</v>
          </cell>
          <cell r="E158">
            <v>37591</v>
          </cell>
          <cell r="L158">
            <v>1650</v>
          </cell>
        </row>
        <row r="159">
          <cell r="C159" t="str">
            <v>SP</v>
          </cell>
          <cell r="D159">
            <v>1</v>
          </cell>
          <cell r="E159">
            <v>37347</v>
          </cell>
          <cell r="L159">
            <v>0</v>
          </cell>
        </row>
        <row r="160">
          <cell r="C160" t="str">
            <v>SP</v>
          </cell>
          <cell r="D160">
            <v>2</v>
          </cell>
          <cell r="E160">
            <v>37377</v>
          </cell>
          <cell r="L160">
            <v>3772.9</v>
          </cell>
        </row>
        <row r="161">
          <cell r="C161" t="str">
            <v>SP</v>
          </cell>
          <cell r="D161">
            <v>3</v>
          </cell>
          <cell r="E161">
            <v>37408</v>
          </cell>
          <cell r="L161">
            <v>722.5</v>
          </cell>
        </row>
        <row r="162">
          <cell r="C162" t="str">
            <v>SP</v>
          </cell>
          <cell r="D162">
            <v>4</v>
          </cell>
          <cell r="E162">
            <v>37438</v>
          </cell>
          <cell r="L162">
            <v>3100.3</v>
          </cell>
        </row>
        <row r="163">
          <cell r="C163" t="str">
            <v>SP</v>
          </cell>
          <cell r="D163">
            <v>5</v>
          </cell>
          <cell r="E163">
            <v>37469</v>
          </cell>
          <cell r="L163">
            <v>1465.2</v>
          </cell>
        </row>
        <row r="164">
          <cell r="C164" t="str">
            <v>SP</v>
          </cell>
          <cell r="D164">
            <v>6</v>
          </cell>
          <cell r="E164">
            <v>37500</v>
          </cell>
          <cell r="L164">
            <v>2531</v>
          </cell>
        </row>
        <row r="165">
          <cell r="C165" t="str">
            <v>SP</v>
          </cell>
          <cell r="D165">
            <v>7</v>
          </cell>
          <cell r="E165">
            <v>37530</v>
          </cell>
          <cell r="L165">
            <v>1878</v>
          </cell>
        </row>
        <row r="166">
          <cell r="C166" t="str">
            <v>SP</v>
          </cell>
          <cell r="D166">
            <v>8</v>
          </cell>
          <cell r="E166">
            <v>37561</v>
          </cell>
          <cell r="L166">
            <v>460.2</v>
          </cell>
        </row>
        <row r="167">
          <cell r="C167" t="str">
            <v>SP</v>
          </cell>
          <cell r="D167">
            <v>9</v>
          </cell>
          <cell r="E167">
            <v>37591</v>
          </cell>
          <cell r="L167">
            <v>1635.62</v>
          </cell>
        </row>
        <row r="168">
          <cell r="C168" t="str">
            <v>SP</v>
          </cell>
          <cell r="D168">
            <v>10</v>
          </cell>
          <cell r="E168">
            <v>37591</v>
          </cell>
          <cell r="L168">
            <v>3806.04</v>
          </cell>
        </row>
        <row r="169">
          <cell r="C169" t="str">
            <v>SP</v>
          </cell>
          <cell r="D169">
            <v>11</v>
          </cell>
          <cell r="E169">
            <v>37591</v>
          </cell>
          <cell r="L169">
            <v>4895.66</v>
          </cell>
        </row>
        <row r="170">
          <cell r="C170" t="str">
            <v>SP</v>
          </cell>
          <cell r="D170">
            <v>12</v>
          </cell>
          <cell r="E170">
            <v>37591</v>
          </cell>
        </row>
        <row r="171">
          <cell r="C171" t="str">
            <v>SP</v>
          </cell>
          <cell r="D171">
            <v>13</v>
          </cell>
          <cell r="E171">
            <v>37591</v>
          </cell>
          <cell r="L171">
            <v>5355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CV"/>
      <sheetName val="CV1"/>
      <sheetName val="CV2"/>
      <sheetName val="listaHV"/>
      <sheetName val="HV1"/>
      <sheetName val="HV2"/>
      <sheetName val="listaSV"/>
      <sheetName val="SV1"/>
      <sheetName val="SV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mirandar@noracid.cl" TargetMode="External"/><Relationship Id="rId1" Type="http://schemas.openxmlformats.org/officeDocument/2006/relationships/hyperlink" Target="mailto:mecwelllimitada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BAD1-15CA-457B-AADC-5055E90A809A}">
  <dimension ref="A1:AJ56"/>
  <sheetViews>
    <sheetView tabSelected="1" view="pageBreakPreview" zoomScaleNormal="100" zoomScaleSheetLayoutView="100" workbookViewId="0">
      <selection activeCell="X5" sqref="X5:AG5"/>
    </sheetView>
  </sheetViews>
  <sheetFormatPr baseColWidth="10" defaultColWidth="3.42578125" defaultRowHeight="18" customHeight="1" x14ac:dyDescent="0.2"/>
  <cols>
    <col min="1" max="27" width="3.42578125" style="1"/>
    <col min="28" max="28" width="6.85546875" style="1" bestFit="1" customWidth="1"/>
    <col min="29" max="29" width="9.42578125" style="1" customWidth="1"/>
    <col min="30" max="16384" width="3.42578125" style="1"/>
  </cols>
  <sheetData>
    <row r="1" spans="1:33" ht="18" customHeight="1" x14ac:dyDescent="0.2">
      <c r="A1" s="29" t="s">
        <v>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11"/>
      <c r="Q1" s="4"/>
      <c r="S1" s="20"/>
      <c r="T1" s="20"/>
      <c r="U1" s="20"/>
      <c r="V1" s="20"/>
      <c r="W1" s="20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s="4" customFormat="1" ht="18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S2" s="20" t="s">
        <v>0</v>
      </c>
      <c r="T2" s="20"/>
      <c r="U2" s="20"/>
      <c r="V2" s="20"/>
      <c r="W2" s="20"/>
      <c r="X2" s="21" t="s">
        <v>1</v>
      </c>
      <c r="Y2" s="21"/>
      <c r="Z2" s="21"/>
      <c r="AA2" s="21"/>
      <c r="AB2" s="21"/>
      <c r="AC2" s="21"/>
      <c r="AD2" s="21"/>
      <c r="AE2" s="21"/>
      <c r="AF2" s="21"/>
      <c r="AG2" s="21"/>
    </row>
    <row r="3" spans="1:33" s="4" customFormat="1" ht="18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S3" s="20" t="s">
        <v>2</v>
      </c>
      <c r="T3" s="20"/>
      <c r="U3" s="20"/>
      <c r="V3" s="20"/>
      <c r="W3" s="20"/>
      <c r="X3" s="21" t="s">
        <v>46</v>
      </c>
      <c r="Y3" s="21"/>
      <c r="Z3" s="21"/>
      <c r="AA3" s="21"/>
      <c r="AB3" s="21"/>
      <c r="AC3" s="21"/>
      <c r="AD3" s="21"/>
      <c r="AE3" s="21"/>
      <c r="AF3" s="21"/>
      <c r="AG3" s="21"/>
    </row>
    <row r="4" spans="1:33" s="4" customFormat="1" ht="18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S4" s="20" t="s">
        <v>3</v>
      </c>
      <c r="T4" s="20"/>
      <c r="U4" s="20"/>
      <c r="V4" s="20"/>
      <c r="W4" s="20"/>
      <c r="X4" s="21" t="s">
        <v>4</v>
      </c>
      <c r="Y4" s="21"/>
      <c r="Z4" s="21"/>
      <c r="AA4" s="21"/>
      <c r="AB4" s="21"/>
      <c r="AC4" s="21"/>
      <c r="AD4" s="21"/>
      <c r="AE4" s="21"/>
      <c r="AF4" s="21"/>
      <c r="AG4" s="21"/>
    </row>
    <row r="5" spans="1:33" s="4" customFormat="1" ht="18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S5" s="20" t="s">
        <v>5</v>
      </c>
      <c r="T5" s="20"/>
      <c r="U5" s="20"/>
      <c r="V5" s="20"/>
      <c r="W5" s="20"/>
      <c r="X5" s="45" t="s">
        <v>49</v>
      </c>
      <c r="Y5" s="21"/>
      <c r="Z5" s="21"/>
      <c r="AA5" s="21"/>
      <c r="AB5" s="21"/>
      <c r="AC5" s="21"/>
      <c r="AD5" s="21"/>
      <c r="AE5" s="21"/>
      <c r="AF5" s="21"/>
      <c r="AG5" s="21"/>
    </row>
    <row r="6" spans="1:33" s="4" customFormat="1" ht="18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2"/>
      <c r="Q6" s="12"/>
      <c r="R6" s="12"/>
      <c r="S6" s="22" t="s">
        <v>6</v>
      </c>
      <c r="T6" s="22"/>
      <c r="U6" s="22"/>
      <c r="V6" s="22"/>
      <c r="W6" s="22"/>
      <c r="X6" s="23" t="s">
        <v>7</v>
      </c>
      <c r="Y6" s="23"/>
      <c r="Z6" s="23"/>
      <c r="AA6" s="23"/>
      <c r="AB6" s="23"/>
      <c r="AC6" s="23"/>
      <c r="AD6" s="23"/>
      <c r="AE6" s="23"/>
      <c r="AF6" s="23"/>
      <c r="AG6" s="23"/>
    </row>
    <row r="7" spans="1:33" s="4" customFormat="1" ht="18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8" customHeight="1" x14ac:dyDescent="0.2">
      <c r="A8" s="20" t="s">
        <v>9</v>
      </c>
      <c r="B8" s="20"/>
      <c r="C8" s="20"/>
      <c r="D8" s="20"/>
      <c r="E8" s="20"/>
      <c r="F8" s="4" t="s">
        <v>8</v>
      </c>
      <c r="G8" s="18" t="s">
        <v>36</v>
      </c>
      <c r="H8" s="18"/>
      <c r="I8" s="18"/>
      <c r="J8" s="18"/>
      <c r="K8" s="18"/>
      <c r="L8" s="18"/>
      <c r="M8" s="18"/>
      <c r="N8" s="18"/>
      <c r="O8" s="9"/>
      <c r="S8" s="20" t="s">
        <v>12</v>
      </c>
      <c r="T8" s="20"/>
      <c r="U8" s="20"/>
      <c r="V8" s="20"/>
      <c r="W8" s="20"/>
      <c r="X8" s="4" t="s">
        <v>8</v>
      </c>
      <c r="Y8" s="31" t="s">
        <v>42</v>
      </c>
      <c r="Z8" s="31"/>
      <c r="AA8" s="31"/>
      <c r="AB8" s="31"/>
      <c r="AC8" s="31"/>
      <c r="AD8" s="31"/>
      <c r="AE8" s="31"/>
      <c r="AF8" s="31"/>
      <c r="AG8" s="31"/>
    </row>
    <row r="9" spans="1:33" ht="18" customHeight="1" x14ac:dyDescent="0.2">
      <c r="A9" s="20" t="s">
        <v>2</v>
      </c>
      <c r="B9" s="20"/>
      <c r="C9" s="20"/>
      <c r="D9" s="20"/>
      <c r="E9" s="20"/>
      <c r="F9" s="4" t="s">
        <v>8</v>
      </c>
      <c r="G9" s="18" t="s">
        <v>37</v>
      </c>
      <c r="H9" s="18"/>
      <c r="I9" s="18"/>
      <c r="J9" s="18"/>
      <c r="K9" s="18"/>
      <c r="L9" s="18"/>
      <c r="M9" s="18"/>
      <c r="N9" s="18"/>
      <c r="O9" s="9"/>
      <c r="S9" s="20" t="s">
        <v>13</v>
      </c>
      <c r="T9" s="20"/>
      <c r="U9" s="20"/>
      <c r="V9" s="20"/>
      <c r="W9" s="20"/>
      <c r="X9" s="4" t="s">
        <v>8</v>
      </c>
      <c r="Y9" s="31" t="s">
        <v>43</v>
      </c>
      <c r="Z9" s="31"/>
      <c r="AA9" s="31"/>
      <c r="AB9" s="31"/>
      <c r="AC9" s="31"/>
      <c r="AD9" s="31"/>
      <c r="AE9" s="31"/>
      <c r="AF9" s="31"/>
      <c r="AG9" s="31"/>
    </row>
    <row r="10" spans="1:33" ht="18" customHeight="1" x14ac:dyDescent="0.2">
      <c r="A10" s="20" t="s">
        <v>10</v>
      </c>
      <c r="B10" s="20"/>
      <c r="C10" s="20"/>
      <c r="D10" s="20"/>
      <c r="E10" s="20"/>
      <c r="F10" s="4" t="s">
        <v>8</v>
      </c>
      <c r="G10" s="18" t="s">
        <v>11</v>
      </c>
      <c r="H10" s="18"/>
      <c r="I10" s="18"/>
      <c r="J10" s="18"/>
      <c r="K10" s="18"/>
      <c r="L10" s="18"/>
      <c r="M10" s="18"/>
      <c r="N10" s="18"/>
      <c r="O10" s="9"/>
      <c r="S10" s="20" t="s">
        <v>5</v>
      </c>
      <c r="T10" s="20"/>
      <c r="U10" s="20"/>
      <c r="V10" s="20"/>
      <c r="W10" s="20"/>
      <c r="X10" s="4" t="s">
        <v>8</v>
      </c>
      <c r="Y10" s="30" t="s">
        <v>38</v>
      </c>
      <c r="Z10" s="18"/>
      <c r="AA10" s="18"/>
      <c r="AB10" s="18"/>
      <c r="AC10" s="18"/>
      <c r="AD10" s="18"/>
      <c r="AE10" s="18"/>
      <c r="AF10" s="18"/>
      <c r="AG10" s="18"/>
    </row>
    <row r="11" spans="1:33" ht="18" customHeight="1" x14ac:dyDescent="0.2">
      <c r="A11" s="22" t="s">
        <v>6</v>
      </c>
      <c r="B11" s="22"/>
      <c r="C11" s="22"/>
      <c r="D11" s="22"/>
      <c r="E11" s="22"/>
      <c r="F11" s="12" t="s">
        <v>8</v>
      </c>
      <c r="G11" s="22"/>
      <c r="H11" s="22"/>
      <c r="I11" s="22"/>
      <c r="J11" s="22"/>
      <c r="K11" s="22"/>
      <c r="L11" s="22"/>
      <c r="M11" s="22"/>
      <c r="N11" s="22"/>
      <c r="O11" s="10"/>
      <c r="P11" s="3"/>
      <c r="Q11" s="3"/>
      <c r="R11" s="3"/>
      <c r="S11" s="22" t="s">
        <v>6</v>
      </c>
      <c r="T11" s="22"/>
      <c r="U11" s="22"/>
      <c r="V11" s="22"/>
      <c r="W11" s="22"/>
      <c r="X11" s="12" t="s">
        <v>8</v>
      </c>
      <c r="Y11" s="24">
        <v>947712460</v>
      </c>
      <c r="Z11" s="24"/>
      <c r="AA11" s="24"/>
      <c r="AB11" s="24"/>
      <c r="AC11" s="24"/>
      <c r="AD11" s="24"/>
      <c r="AE11" s="24"/>
      <c r="AF11" s="24"/>
      <c r="AG11" s="24"/>
    </row>
    <row r="12" spans="1:33" ht="18" customHeight="1" x14ac:dyDescent="0.2">
      <c r="B12" s="9"/>
      <c r="C12" s="9"/>
      <c r="D12" s="9"/>
      <c r="E12" s="9"/>
      <c r="F12" s="9"/>
      <c r="G12" s="4"/>
      <c r="H12" s="9"/>
      <c r="I12" s="9"/>
      <c r="J12" s="9"/>
      <c r="K12" s="9"/>
      <c r="L12" s="9"/>
      <c r="M12" s="9"/>
      <c r="N12" s="9"/>
      <c r="O12" s="9"/>
      <c r="P12" s="9"/>
      <c r="Q12" s="9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3" ht="18" customHeight="1" x14ac:dyDescent="0.2">
      <c r="A13" s="28" t="s">
        <v>23</v>
      </c>
      <c r="B13" s="28"/>
      <c r="C13" s="28"/>
      <c r="D13" s="28"/>
      <c r="E13" s="28"/>
      <c r="F13" s="28"/>
      <c r="G13" s="28"/>
      <c r="H13" s="28"/>
      <c r="I13" s="28"/>
      <c r="J13" s="32" t="s">
        <v>44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spans="1:33" ht="18" customHeight="1" x14ac:dyDescent="0.2">
      <c r="A14" s="28" t="s">
        <v>39</v>
      </c>
      <c r="B14" s="28"/>
      <c r="C14" s="28"/>
      <c r="D14" s="28"/>
      <c r="E14" s="28"/>
      <c r="F14" s="28"/>
      <c r="G14" s="28"/>
      <c r="H14" s="28"/>
      <c r="I14" s="28"/>
      <c r="J14" s="32" t="s">
        <v>45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spans="1:33" ht="18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8" customHeight="1" x14ac:dyDescent="0.2">
      <c r="A16" s="33" t="s">
        <v>15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 t="s">
        <v>16</v>
      </c>
      <c r="O16" s="33"/>
      <c r="P16" s="33"/>
      <c r="Q16" s="33" t="s">
        <v>17</v>
      </c>
      <c r="R16" s="33"/>
      <c r="S16" s="33"/>
      <c r="T16" s="33" t="s">
        <v>32</v>
      </c>
      <c r="U16" s="33"/>
      <c r="V16" s="33" t="s">
        <v>19</v>
      </c>
      <c r="W16" s="33"/>
      <c r="X16" s="33"/>
      <c r="Y16" s="25" t="s">
        <v>18</v>
      </c>
      <c r="Z16" s="25"/>
      <c r="AA16" s="25"/>
      <c r="AB16" s="25"/>
      <c r="AC16" s="25"/>
      <c r="AD16" s="25" t="s">
        <v>14</v>
      </c>
      <c r="AE16" s="25"/>
      <c r="AF16" s="25"/>
      <c r="AG16" s="25"/>
    </row>
    <row r="17" spans="1:36" ht="18" customHeight="1" x14ac:dyDescent="0.2">
      <c r="A17" s="26" t="s">
        <v>22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19" t="s">
        <v>19</v>
      </c>
      <c r="O17" s="19"/>
      <c r="P17" s="19"/>
      <c r="Q17" s="19">
        <v>1</v>
      </c>
      <c r="R17" s="19"/>
      <c r="S17" s="19"/>
      <c r="T17" s="19">
        <v>5</v>
      </c>
      <c r="U17" s="19"/>
      <c r="V17" s="19">
        <v>9</v>
      </c>
      <c r="W17" s="19"/>
      <c r="X17" s="19"/>
      <c r="Y17" s="27">
        <v>12756</v>
      </c>
      <c r="Z17" s="27"/>
      <c r="AA17" s="27"/>
      <c r="AB17" s="27"/>
      <c r="AC17" s="27"/>
      <c r="AD17" s="27">
        <f t="shared" ref="AD17:AD22" si="0">+Q17*T17*V17*Y17</f>
        <v>574020</v>
      </c>
      <c r="AE17" s="27"/>
      <c r="AF17" s="27"/>
      <c r="AG17" s="27"/>
      <c r="AI17" s="7"/>
      <c r="AJ17" s="7"/>
    </row>
    <row r="18" spans="1:36" ht="18" customHeight="1" x14ac:dyDescent="0.2">
      <c r="A18" s="18" t="s">
        <v>34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 t="s">
        <v>19</v>
      </c>
      <c r="O18" s="19"/>
      <c r="P18" s="19"/>
      <c r="Q18" s="19">
        <v>1</v>
      </c>
      <c r="R18" s="19"/>
      <c r="S18" s="19"/>
      <c r="T18" s="19">
        <v>5</v>
      </c>
      <c r="U18" s="19"/>
      <c r="V18" s="19">
        <v>9</v>
      </c>
      <c r="W18" s="19"/>
      <c r="X18" s="19"/>
      <c r="Y18" s="27">
        <v>11720</v>
      </c>
      <c r="Z18" s="27"/>
      <c r="AA18" s="27"/>
      <c r="AB18" s="27"/>
      <c r="AC18" s="27"/>
      <c r="AD18" s="27">
        <f t="shared" si="0"/>
        <v>527400</v>
      </c>
      <c r="AE18" s="27"/>
      <c r="AF18" s="27"/>
      <c r="AG18" s="27"/>
      <c r="AI18" s="7"/>
      <c r="AJ18" s="7"/>
    </row>
    <row r="19" spans="1:36" ht="18" customHeight="1" x14ac:dyDescent="0.2">
      <c r="A19" s="18" t="s">
        <v>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 t="s">
        <v>19</v>
      </c>
      <c r="O19" s="19"/>
      <c r="P19" s="19"/>
      <c r="Q19" s="19">
        <v>1</v>
      </c>
      <c r="R19" s="19"/>
      <c r="S19" s="19"/>
      <c r="T19" s="19">
        <v>5</v>
      </c>
      <c r="U19" s="19"/>
      <c r="V19" s="19">
        <v>9</v>
      </c>
      <c r="W19" s="19"/>
      <c r="X19" s="19"/>
      <c r="Y19" s="27">
        <v>11720</v>
      </c>
      <c r="Z19" s="27"/>
      <c r="AA19" s="27"/>
      <c r="AB19" s="27"/>
      <c r="AC19" s="27"/>
      <c r="AD19" s="27">
        <f t="shared" si="0"/>
        <v>527400</v>
      </c>
      <c r="AE19" s="27"/>
      <c r="AF19" s="27"/>
      <c r="AG19" s="27"/>
      <c r="AI19" s="7"/>
      <c r="AJ19" s="7"/>
    </row>
    <row r="20" spans="1:36" ht="18" customHeight="1" x14ac:dyDescent="0.2">
      <c r="A20" s="18" t="s">
        <v>34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 t="s">
        <v>19</v>
      </c>
      <c r="O20" s="19"/>
      <c r="P20" s="19"/>
      <c r="Q20" s="19">
        <v>1</v>
      </c>
      <c r="R20" s="19"/>
      <c r="S20" s="19"/>
      <c r="T20" s="19">
        <v>5</v>
      </c>
      <c r="U20" s="19"/>
      <c r="V20" s="19">
        <v>9</v>
      </c>
      <c r="W20" s="19"/>
      <c r="X20" s="19"/>
      <c r="Y20" s="27">
        <v>11720</v>
      </c>
      <c r="Z20" s="27"/>
      <c r="AA20" s="27"/>
      <c r="AB20" s="27"/>
      <c r="AC20" s="27"/>
      <c r="AD20" s="27">
        <f t="shared" si="0"/>
        <v>527400</v>
      </c>
      <c r="AE20" s="27"/>
      <c r="AF20" s="27"/>
      <c r="AG20" s="27"/>
      <c r="AI20" s="7"/>
      <c r="AJ20" s="7"/>
    </row>
    <row r="21" spans="1:36" ht="18" customHeight="1" x14ac:dyDescent="0.2">
      <c r="A21" s="18" t="s">
        <v>34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 t="s">
        <v>19</v>
      </c>
      <c r="O21" s="19"/>
      <c r="P21" s="19"/>
      <c r="Q21" s="19">
        <v>1</v>
      </c>
      <c r="R21" s="19"/>
      <c r="S21" s="19"/>
      <c r="T21" s="19">
        <v>5</v>
      </c>
      <c r="U21" s="19"/>
      <c r="V21" s="19">
        <v>9</v>
      </c>
      <c r="W21" s="19"/>
      <c r="X21" s="19"/>
      <c r="Y21" s="27">
        <v>11720</v>
      </c>
      <c r="Z21" s="27"/>
      <c r="AA21" s="27"/>
      <c r="AB21" s="27"/>
      <c r="AC21" s="27"/>
      <c r="AD21" s="27">
        <f t="shared" si="0"/>
        <v>527400</v>
      </c>
      <c r="AE21" s="27"/>
      <c r="AF21" s="27"/>
      <c r="AG21" s="27"/>
      <c r="AI21" s="7"/>
      <c r="AJ21" s="7"/>
    </row>
    <row r="22" spans="1:36" ht="18" customHeight="1" x14ac:dyDescent="0.2">
      <c r="A22" s="18" t="s">
        <v>34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 t="s">
        <v>19</v>
      </c>
      <c r="O22" s="19"/>
      <c r="P22" s="19"/>
      <c r="Q22" s="19">
        <v>1</v>
      </c>
      <c r="R22" s="19"/>
      <c r="S22" s="19"/>
      <c r="T22" s="19">
        <v>5</v>
      </c>
      <c r="U22" s="19"/>
      <c r="V22" s="19">
        <v>6</v>
      </c>
      <c r="W22" s="19"/>
      <c r="X22" s="19"/>
      <c r="Y22" s="27">
        <v>11720</v>
      </c>
      <c r="Z22" s="27"/>
      <c r="AA22" s="27"/>
      <c r="AB22" s="27"/>
      <c r="AC22" s="27"/>
      <c r="AD22" s="27">
        <f t="shared" si="0"/>
        <v>351600</v>
      </c>
      <c r="AE22" s="27"/>
      <c r="AF22" s="27"/>
      <c r="AG22" s="27"/>
    </row>
    <row r="23" spans="1:36" ht="18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19"/>
      <c r="S23" s="19"/>
      <c r="T23" s="19"/>
      <c r="U23" s="19"/>
      <c r="V23" s="19"/>
      <c r="W23" s="19"/>
      <c r="X23" s="19"/>
      <c r="Y23" s="27"/>
      <c r="Z23" s="27"/>
      <c r="AA23" s="27"/>
      <c r="AB23" s="27"/>
      <c r="AC23" s="27"/>
      <c r="AD23" s="27"/>
      <c r="AE23" s="27"/>
      <c r="AF23" s="27"/>
      <c r="AG23" s="27"/>
    </row>
    <row r="24" spans="1:36" ht="18" customHeight="1" x14ac:dyDescent="0.2">
      <c r="A24" s="34" t="s">
        <v>20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  <c r="R24" s="35"/>
      <c r="S24" s="35"/>
      <c r="T24" s="16"/>
      <c r="U24" s="16"/>
      <c r="V24" s="35">
        <f>+Q17*T17*V17+Q18*T18*V18+Q19*T19*V19+Q20*T20*V20+Q21*T21*V21+Q22*T22*V22</f>
        <v>255</v>
      </c>
      <c r="W24" s="35"/>
      <c r="X24" s="35"/>
      <c r="Y24" s="36"/>
      <c r="Z24" s="36"/>
      <c r="AA24" s="36"/>
      <c r="AB24" s="36"/>
      <c r="AC24" s="36"/>
      <c r="AD24" s="36">
        <f>SUM(AD17:AG23)</f>
        <v>3035220</v>
      </c>
      <c r="AE24" s="36"/>
      <c r="AF24" s="36"/>
      <c r="AG24" s="36"/>
    </row>
    <row r="25" spans="1:36" ht="18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2"/>
      <c r="R25" s="2"/>
      <c r="S25" s="2"/>
      <c r="Y25" s="7"/>
      <c r="Z25" s="7"/>
      <c r="AA25" s="7"/>
      <c r="AB25" s="7"/>
      <c r="AC25" s="7"/>
      <c r="AD25" s="7"/>
      <c r="AE25" s="7"/>
      <c r="AF25" s="7"/>
      <c r="AG25" s="7"/>
    </row>
    <row r="26" spans="1:36" ht="18" customHeight="1" x14ac:dyDescent="0.2">
      <c r="A26" s="22" t="s">
        <v>25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33" t="s">
        <v>16</v>
      </c>
      <c r="R26" s="33"/>
      <c r="S26" s="33"/>
      <c r="T26" s="33" t="s">
        <v>17</v>
      </c>
      <c r="U26" s="33"/>
      <c r="V26" s="33"/>
      <c r="W26" s="33"/>
      <c r="X26" s="33"/>
      <c r="Y26" s="25" t="s">
        <v>18</v>
      </c>
      <c r="Z26" s="25"/>
      <c r="AA26" s="25"/>
      <c r="AB26" s="25"/>
      <c r="AC26" s="25"/>
      <c r="AD26" s="25" t="s">
        <v>14</v>
      </c>
      <c r="AE26" s="25"/>
      <c r="AF26" s="25"/>
      <c r="AG26" s="25"/>
    </row>
    <row r="27" spans="1:36" ht="18" customHeight="1" x14ac:dyDescent="0.2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19" t="s">
        <v>48</v>
      </c>
      <c r="R27" s="19"/>
      <c r="S27" s="19"/>
      <c r="T27" s="27">
        <v>1</v>
      </c>
      <c r="U27" s="27"/>
      <c r="V27" s="27"/>
      <c r="W27" s="19"/>
      <c r="X27" s="19"/>
      <c r="Y27" s="27">
        <v>581060</v>
      </c>
      <c r="Z27" s="27"/>
      <c r="AA27" s="27"/>
      <c r="AB27" s="27"/>
      <c r="AC27" s="27"/>
      <c r="AD27" s="27">
        <f>+T27*Y27</f>
        <v>581060</v>
      </c>
      <c r="AE27" s="27"/>
      <c r="AF27" s="27"/>
      <c r="AG27" s="27"/>
    </row>
    <row r="28" spans="1:36" ht="18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9"/>
      <c r="R28" s="19"/>
      <c r="S28" s="19"/>
      <c r="T28" s="27"/>
      <c r="U28" s="27"/>
      <c r="V28" s="27"/>
      <c r="W28" s="19"/>
      <c r="X28" s="19"/>
      <c r="Y28" s="27"/>
      <c r="Z28" s="27"/>
      <c r="AA28" s="27"/>
      <c r="AB28" s="27"/>
      <c r="AC28" s="27"/>
      <c r="AD28" s="27"/>
      <c r="AE28" s="27"/>
      <c r="AF28" s="27"/>
      <c r="AG28" s="27"/>
    </row>
    <row r="29" spans="1:36" ht="18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9"/>
      <c r="R29" s="19"/>
      <c r="S29" s="19"/>
      <c r="T29" s="27"/>
      <c r="U29" s="27"/>
      <c r="V29" s="27"/>
      <c r="W29" s="19"/>
      <c r="X29" s="19"/>
      <c r="Y29" s="27"/>
      <c r="Z29" s="27"/>
      <c r="AA29" s="27"/>
      <c r="AB29" s="27"/>
      <c r="AC29" s="27"/>
      <c r="AD29" s="27"/>
      <c r="AE29" s="27"/>
      <c r="AF29" s="27"/>
      <c r="AG29" s="27"/>
    </row>
    <row r="30" spans="1:36" ht="18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9"/>
      <c r="R30" s="19"/>
      <c r="S30" s="19"/>
      <c r="T30" s="19"/>
      <c r="U30" s="19"/>
      <c r="V30" s="19"/>
      <c r="W30" s="6"/>
      <c r="X30" s="6"/>
      <c r="Y30" s="27"/>
      <c r="Z30" s="27"/>
      <c r="AA30" s="27"/>
      <c r="AB30" s="27"/>
      <c r="AC30" s="27"/>
      <c r="AD30" s="27">
        <f t="shared" ref="AD30" si="1">+T30*Y30</f>
        <v>0</v>
      </c>
      <c r="AE30" s="27"/>
      <c r="AF30" s="27"/>
      <c r="AG30" s="27"/>
    </row>
    <row r="31" spans="1:36" ht="18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/>
      <c r="R31" s="19"/>
      <c r="S31" s="19"/>
      <c r="T31" s="6"/>
      <c r="U31" s="6"/>
      <c r="V31" s="6"/>
      <c r="W31" s="6"/>
      <c r="X31" s="6"/>
      <c r="Y31" s="27"/>
      <c r="Z31" s="27"/>
      <c r="AA31" s="27"/>
      <c r="AB31" s="27"/>
      <c r="AC31" s="27"/>
      <c r="AD31" s="27">
        <f t="shared" ref="AD31:AD34" si="2">+T31*Y31</f>
        <v>0</v>
      </c>
      <c r="AE31" s="27"/>
      <c r="AF31" s="27"/>
      <c r="AG31" s="27"/>
    </row>
    <row r="32" spans="1:36" ht="18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9"/>
      <c r="R32" s="19"/>
      <c r="S32" s="19"/>
      <c r="T32" s="6"/>
      <c r="U32" s="6"/>
      <c r="V32" s="6"/>
      <c r="W32" s="6"/>
      <c r="X32" s="6"/>
      <c r="Y32" s="27"/>
      <c r="Z32" s="27"/>
      <c r="AA32" s="27"/>
      <c r="AB32" s="27"/>
      <c r="AC32" s="27"/>
      <c r="AD32" s="27">
        <f t="shared" si="2"/>
        <v>0</v>
      </c>
      <c r="AE32" s="27"/>
      <c r="AF32" s="27"/>
      <c r="AG32" s="27"/>
    </row>
    <row r="33" spans="1:33" ht="18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9"/>
      <c r="R33" s="19"/>
      <c r="S33" s="19"/>
      <c r="T33" s="6"/>
      <c r="U33" s="6"/>
      <c r="V33" s="6"/>
      <c r="W33" s="6"/>
      <c r="X33" s="6"/>
      <c r="Y33" s="27"/>
      <c r="Z33" s="27"/>
      <c r="AA33" s="27"/>
      <c r="AB33" s="27"/>
      <c r="AC33" s="27"/>
      <c r="AD33" s="27">
        <f t="shared" si="2"/>
        <v>0</v>
      </c>
      <c r="AE33" s="27"/>
      <c r="AF33" s="27"/>
      <c r="AG33" s="27"/>
    </row>
    <row r="34" spans="1:33" ht="18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9"/>
      <c r="R34" s="19"/>
      <c r="S34" s="19"/>
      <c r="T34" s="6"/>
      <c r="U34" s="6"/>
      <c r="V34" s="6"/>
      <c r="W34" s="6"/>
      <c r="X34" s="6"/>
      <c r="Y34" s="27"/>
      <c r="Z34" s="27"/>
      <c r="AA34" s="27"/>
      <c r="AB34" s="27"/>
      <c r="AC34" s="27"/>
      <c r="AD34" s="27">
        <f t="shared" si="2"/>
        <v>0</v>
      </c>
      <c r="AE34" s="27"/>
      <c r="AF34" s="27"/>
      <c r="AG34" s="27"/>
    </row>
    <row r="35" spans="1:33" ht="18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6"/>
      <c r="R35" s="6"/>
      <c r="S35" s="6"/>
      <c r="T35" s="6"/>
      <c r="U35" s="6"/>
      <c r="V35" s="6"/>
      <c r="W35" s="6"/>
      <c r="X35" s="6"/>
      <c r="Y35" s="8"/>
      <c r="Z35" s="8"/>
      <c r="AA35" s="8"/>
      <c r="AB35" s="8"/>
      <c r="AC35" s="8"/>
      <c r="AD35" s="27">
        <f t="shared" ref="AD35" si="3">+T35*Y35</f>
        <v>0</v>
      </c>
      <c r="AE35" s="27"/>
      <c r="AF35" s="27"/>
      <c r="AG35" s="27"/>
    </row>
    <row r="36" spans="1:33" ht="18" customHeight="1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37"/>
      <c r="R36" s="37"/>
      <c r="S36" s="37"/>
      <c r="T36" s="37"/>
      <c r="U36" s="37"/>
      <c r="V36" s="37"/>
      <c r="W36" s="37"/>
      <c r="X36" s="37"/>
      <c r="Y36" s="38"/>
      <c r="Z36" s="38"/>
      <c r="AA36" s="38"/>
      <c r="AB36" s="38"/>
      <c r="AC36" s="38"/>
      <c r="AD36" s="38"/>
      <c r="AE36" s="38"/>
      <c r="AF36" s="38"/>
      <c r="AG36" s="38"/>
    </row>
    <row r="37" spans="1:33" ht="18" customHeight="1" x14ac:dyDescent="0.2">
      <c r="A37" s="34" t="s">
        <v>20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5"/>
      <c r="R37" s="35"/>
      <c r="S37" s="35"/>
      <c r="T37" s="35"/>
      <c r="U37" s="35"/>
      <c r="V37" s="35"/>
      <c r="W37" s="36"/>
      <c r="X37" s="36"/>
      <c r="Y37" s="36"/>
      <c r="Z37" s="36"/>
      <c r="AA37" s="36"/>
      <c r="AB37" s="36"/>
      <c r="AC37" s="36"/>
      <c r="AD37" s="36">
        <f>+SUM(AD27:AG30)</f>
        <v>581060</v>
      </c>
      <c r="AE37" s="36"/>
      <c r="AF37" s="36"/>
      <c r="AG37" s="36"/>
    </row>
    <row r="38" spans="1:33" ht="18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6"/>
      <c r="R38" s="6"/>
      <c r="S38" s="6"/>
      <c r="T38" s="6"/>
      <c r="U38" s="6"/>
      <c r="V38" s="6"/>
      <c r="W38" s="6"/>
      <c r="X38" s="6"/>
      <c r="Y38" s="8">
        <v>0</v>
      </c>
      <c r="Z38" s="8"/>
      <c r="AA38" s="8"/>
      <c r="AB38" s="8"/>
      <c r="AC38" s="8"/>
      <c r="AD38" s="8"/>
      <c r="AE38" s="8"/>
      <c r="AF38" s="8"/>
      <c r="AG38" s="8"/>
    </row>
    <row r="39" spans="1:33" ht="18" customHeight="1" x14ac:dyDescent="0.2">
      <c r="A39" s="22" t="s">
        <v>26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33" t="s">
        <v>16</v>
      </c>
      <c r="R39" s="33"/>
      <c r="S39" s="33"/>
      <c r="T39" s="33" t="s">
        <v>17</v>
      </c>
      <c r="U39" s="33"/>
      <c r="V39" s="33"/>
      <c r="W39" s="33"/>
      <c r="X39" s="33"/>
      <c r="Y39" s="25" t="s">
        <v>18</v>
      </c>
      <c r="Z39" s="25"/>
      <c r="AA39" s="25"/>
      <c r="AB39" s="25"/>
      <c r="AC39" s="25"/>
      <c r="AD39" s="25" t="s">
        <v>14</v>
      </c>
      <c r="AE39" s="25"/>
      <c r="AF39" s="25"/>
      <c r="AG39" s="25"/>
    </row>
    <row r="40" spans="1:33" ht="18" customHeight="1" x14ac:dyDescent="0.2">
      <c r="A40" s="18" t="s">
        <v>41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9" t="s">
        <v>16</v>
      </c>
      <c r="R40" s="19"/>
      <c r="S40" s="19"/>
      <c r="T40" s="19">
        <v>5</v>
      </c>
      <c r="U40" s="19"/>
      <c r="V40" s="19"/>
      <c r="W40" s="19"/>
      <c r="X40" s="19"/>
      <c r="Y40" s="27">
        <v>25000</v>
      </c>
      <c r="Z40" s="27"/>
      <c r="AA40" s="27"/>
      <c r="AB40" s="27"/>
      <c r="AC40" s="27"/>
      <c r="AD40" s="27">
        <f>+T40*Y40</f>
        <v>125000</v>
      </c>
      <c r="AE40" s="27"/>
      <c r="AF40" s="27"/>
      <c r="AG40" s="27"/>
    </row>
    <row r="41" spans="1:33" ht="18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9"/>
      <c r="R41" s="19"/>
      <c r="S41" s="19"/>
      <c r="T41" s="19"/>
      <c r="U41" s="19"/>
      <c r="V41" s="19"/>
      <c r="W41" s="19"/>
      <c r="X41" s="19"/>
      <c r="Y41" s="27"/>
      <c r="Z41" s="27"/>
      <c r="AA41" s="27"/>
      <c r="AB41" s="27"/>
      <c r="AC41" s="27"/>
      <c r="AD41" s="27"/>
      <c r="AE41" s="27"/>
      <c r="AF41" s="27"/>
      <c r="AG41" s="27"/>
    </row>
    <row r="42" spans="1:33" ht="18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9"/>
      <c r="R42" s="19"/>
      <c r="S42" s="19"/>
      <c r="T42" s="19"/>
      <c r="U42" s="19"/>
      <c r="V42" s="19"/>
      <c r="W42" s="19"/>
      <c r="X42" s="19"/>
      <c r="Y42" s="27"/>
      <c r="Z42" s="27"/>
      <c r="AA42" s="27"/>
      <c r="AB42" s="27"/>
      <c r="AC42" s="27"/>
      <c r="AD42" s="27"/>
      <c r="AE42" s="27"/>
      <c r="AF42" s="27"/>
      <c r="AG42" s="27"/>
    </row>
    <row r="43" spans="1:33" ht="18" customHeight="1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17"/>
      <c r="R43" s="17"/>
      <c r="S43" s="17"/>
      <c r="T43" s="37">
        <v>0</v>
      </c>
      <c r="U43" s="37"/>
      <c r="V43" s="37"/>
      <c r="W43" s="37"/>
      <c r="X43" s="37"/>
      <c r="Y43" s="38"/>
      <c r="Z43" s="38"/>
      <c r="AA43" s="38"/>
      <c r="AB43" s="38"/>
      <c r="AC43" s="38"/>
      <c r="AD43" s="38">
        <f>+T43*Y43</f>
        <v>0</v>
      </c>
      <c r="AE43" s="38"/>
      <c r="AF43" s="38"/>
      <c r="AG43" s="38"/>
    </row>
    <row r="44" spans="1:33" ht="18" customHeight="1" x14ac:dyDescent="0.2">
      <c r="A44" s="34" t="s">
        <v>20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5"/>
      <c r="R44" s="35"/>
      <c r="S44" s="35"/>
      <c r="T44" s="35"/>
      <c r="U44" s="35"/>
      <c r="V44" s="35"/>
      <c r="W44" s="36"/>
      <c r="X44" s="36"/>
      <c r="Y44" s="36"/>
      <c r="Z44" s="36"/>
      <c r="AA44" s="36"/>
      <c r="AB44" s="36"/>
      <c r="AC44" s="36"/>
      <c r="AD44" s="36">
        <f>SUM(AD40:AG43)</f>
        <v>125000</v>
      </c>
      <c r="AE44" s="36"/>
      <c r="AF44" s="36"/>
      <c r="AG44" s="36"/>
    </row>
    <row r="45" spans="1:33" ht="18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6"/>
      <c r="R45" s="6"/>
      <c r="S45" s="6"/>
      <c r="T45" s="6"/>
      <c r="U45" s="6"/>
      <c r="V45" s="6"/>
      <c r="W45" s="6"/>
      <c r="X45" s="6"/>
      <c r="Y45" s="8"/>
      <c r="Z45" s="8"/>
      <c r="AA45" s="8"/>
      <c r="AB45" s="8"/>
      <c r="AC45" s="8"/>
      <c r="AD45" s="8"/>
      <c r="AE45" s="8"/>
      <c r="AF45" s="8"/>
      <c r="AG45" s="8"/>
    </row>
    <row r="46" spans="1:33" ht="18" customHeight="1" x14ac:dyDescent="0.2">
      <c r="A46" s="22" t="s">
        <v>27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33" t="s">
        <v>16</v>
      </c>
      <c r="R46" s="33"/>
      <c r="S46" s="33"/>
      <c r="T46" s="33" t="s">
        <v>17</v>
      </c>
      <c r="U46" s="33"/>
      <c r="V46" s="33"/>
      <c r="W46" s="33"/>
      <c r="X46" s="33"/>
      <c r="Y46" s="25" t="s">
        <v>18</v>
      </c>
      <c r="Z46" s="25"/>
      <c r="AA46" s="25"/>
      <c r="AB46" s="25"/>
      <c r="AC46" s="25"/>
      <c r="AD46" s="25" t="s">
        <v>14</v>
      </c>
      <c r="AE46" s="25"/>
      <c r="AF46" s="25"/>
      <c r="AG46" s="25"/>
    </row>
    <row r="47" spans="1:33" ht="18" customHeight="1" x14ac:dyDescent="0.2">
      <c r="A47" s="18" t="s">
        <v>33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9" t="s">
        <v>19</v>
      </c>
      <c r="R47" s="19"/>
      <c r="S47" s="19"/>
      <c r="T47" s="27">
        <f>+V24</f>
        <v>255</v>
      </c>
      <c r="U47" s="27"/>
      <c r="V47" s="27"/>
      <c r="W47" s="19"/>
      <c r="X47" s="19"/>
      <c r="Y47" s="27">
        <v>818</v>
      </c>
      <c r="Z47" s="27"/>
      <c r="AA47" s="27"/>
      <c r="AB47" s="27"/>
      <c r="AC47" s="27"/>
      <c r="AD47" s="27">
        <f t="shared" ref="AD47:AD48" si="4">+T47*Y47</f>
        <v>208590</v>
      </c>
      <c r="AE47" s="27"/>
      <c r="AF47" s="27"/>
      <c r="AG47" s="27"/>
    </row>
    <row r="48" spans="1:33" ht="18" customHeight="1" x14ac:dyDescent="0.2">
      <c r="A48" s="18" t="s">
        <v>40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9" t="s">
        <v>19</v>
      </c>
      <c r="R48" s="19"/>
      <c r="S48" s="19"/>
      <c r="T48" s="27">
        <f>+T47</f>
        <v>255</v>
      </c>
      <c r="U48" s="27"/>
      <c r="V48" s="27"/>
      <c r="W48" s="19"/>
      <c r="X48" s="19"/>
      <c r="Y48" s="27">
        <v>834</v>
      </c>
      <c r="Z48" s="27"/>
      <c r="AA48" s="27"/>
      <c r="AB48" s="27"/>
      <c r="AC48" s="27"/>
      <c r="AD48" s="27">
        <f t="shared" si="4"/>
        <v>212670</v>
      </c>
      <c r="AE48" s="27"/>
      <c r="AF48" s="27"/>
      <c r="AG48" s="27"/>
    </row>
    <row r="49" spans="1:35" ht="18" customHeight="1" x14ac:dyDescent="0.2">
      <c r="A49" s="18" t="s">
        <v>35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9" t="s">
        <v>19</v>
      </c>
      <c r="R49" s="19"/>
      <c r="S49" s="19"/>
      <c r="T49" s="27">
        <f>+T48</f>
        <v>255</v>
      </c>
      <c r="U49" s="27"/>
      <c r="V49" s="27"/>
      <c r="W49" s="19"/>
      <c r="X49" s="19"/>
      <c r="Y49" s="27">
        <v>492</v>
      </c>
      <c r="Z49" s="27"/>
      <c r="AA49" s="27"/>
      <c r="AB49" s="27"/>
      <c r="AC49" s="27"/>
      <c r="AD49" s="27">
        <f t="shared" ref="AD49" si="5">+T49*Y49</f>
        <v>125460</v>
      </c>
      <c r="AE49" s="27"/>
      <c r="AF49" s="27"/>
      <c r="AG49" s="27"/>
    </row>
    <row r="50" spans="1:35" ht="18" customHeight="1" x14ac:dyDescent="0.2">
      <c r="A50" s="34" t="s">
        <v>20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5"/>
      <c r="R50" s="35"/>
      <c r="S50" s="35"/>
      <c r="T50" s="36"/>
      <c r="U50" s="35"/>
      <c r="V50" s="35"/>
      <c r="W50" s="36"/>
      <c r="X50" s="36"/>
      <c r="Y50" s="36"/>
      <c r="Z50" s="36"/>
      <c r="AA50" s="36"/>
      <c r="AB50" s="36"/>
      <c r="AC50" s="36"/>
      <c r="AD50" s="36">
        <f>SUM(AD47:AG49)</f>
        <v>546720</v>
      </c>
      <c r="AE50" s="36"/>
      <c r="AF50" s="36"/>
      <c r="AG50" s="36"/>
    </row>
    <row r="51" spans="1:35" ht="18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4"/>
      <c r="R51" s="14"/>
      <c r="S51" s="14"/>
      <c r="T51" s="14"/>
      <c r="U51" s="14"/>
      <c r="V51" s="14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spans="1:35" ht="18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41"/>
      <c r="R52" s="41"/>
      <c r="S52" s="41"/>
      <c r="T52" s="41"/>
      <c r="U52" s="41"/>
      <c r="V52" s="41"/>
      <c r="W52" s="4"/>
      <c r="X52" s="21" t="s">
        <v>28</v>
      </c>
      <c r="Y52" s="21"/>
      <c r="Z52" s="21"/>
      <c r="AA52" s="21"/>
      <c r="AB52" s="21"/>
      <c r="AC52" s="21"/>
      <c r="AD52" s="40">
        <f>AD24+AD37+AD44+AD50</f>
        <v>4288000</v>
      </c>
      <c r="AE52" s="40"/>
      <c r="AF52" s="40"/>
      <c r="AG52" s="40"/>
    </row>
    <row r="53" spans="1:35" ht="18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4"/>
      <c r="R53" s="14"/>
      <c r="S53" s="14"/>
      <c r="T53" s="14"/>
      <c r="U53" s="14"/>
      <c r="V53" s="42">
        <v>0.15</v>
      </c>
      <c r="W53" s="43"/>
      <c r="X53" s="21" t="s">
        <v>29</v>
      </c>
      <c r="Y53" s="21"/>
      <c r="Z53" s="21"/>
      <c r="AA53" s="21"/>
      <c r="AB53" s="21"/>
      <c r="AC53" s="21"/>
      <c r="AD53" s="40">
        <f>+V53*(AD52-AD37)</f>
        <v>556041</v>
      </c>
      <c r="AE53" s="40"/>
      <c r="AF53" s="40"/>
      <c r="AG53" s="40"/>
      <c r="AI53" s="7"/>
    </row>
    <row r="54" spans="1:35" ht="18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41" t="s">
        <v>24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2">
        <v>0.15</v>
      </c>
      <c r="W54" s="42"/>
      <c r="X54" s="21" t="s">
        <v>30</v>
      </c>
      <c r="Y54" s="21"/>
      <c r="Z54" s="21"/>
      <c r="AA54" s="21"/>
      <c r="AB54" s="21"/>
      <c r="AC54" s="21"/>
      <c r="AD54" s="40">
        <f>+V54*(AD52+AD53-AD37)</f>
        <v>639447.15</v>
      </c>
      <c r="AE54" s="40"/>
      <c r="AF54" s="40"/>
      <c r="AG54" s="40"/>
    </row>
    <row r="55" spans="1:35" ht="18" customHeight="1" x14ac:dyDescent="0.2">
      <c r="K55" s="41" t="s">
        <v>1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39"/>
      <c r="W55" s="19"/>
      <c r="X55" s="21" t="s">
        <v>31</v>
      </c>
      <c r="Y55" s="21"/>
      <c r="Z55" s="21"/>
      <c r="AA55" s="21"/>
      <c r="AB55" s="21"/>
      <c r="AC55" s="21"/>
      <c r="AD55" s="40">
        <f>AD52+AD53+AD54</f>
        <v>5483488.1500000004</v>
      </c>
      <c r="AE55" s="40"/>
      <c r="AF55" s="40"/>
      <c r="AG55" s="40"/>
    </row>
    <row r="56" spans="1:35" ht="18" customHeight="1" x14ac:dyDescent="0.2">
      <c r="K56" s="44">
        <v>45753</v>
      </c>
      <c r="L56" s="41"/>
      <c r="M56" s="41"/>
      <c r="N56" s="41">
        <v>19</v>
      </c>
      <c r="O56" s="41"/>
      <c r="P56" s="41"/>
      <c r="Q56" s="41">
        <v>12</v>
      </c>
      <c r="R56" s="41"/>
      <c r="S56" s="41">
        <v>2022</v>
      </c>
      <c r="T56" s="41"/>
      <c r="U56" s="41"/>
      <c r="V56" s="39"/>
      <c r="W56" s="19"/>
      <c r="X56" s="21"/>
      <c r="Y56" s="21"/>
      <c r="Z56" s="21"/>
      <c r="AA56" s="21"/>
      <c r="AB56" s="21"/>
      <c r="AC56" s="21"/>
      <c r="AD56" s="40"/>
      <c r="AE56" s="40"/>
      <c r="AF56" s="40"/>
      <c r="AG56" s="40"/>
    </row>
  </sheetData>
  <mergeCells count="238">
    <mergeCell ref="V22:X22"/>
    <mergeCell ref="A22:M22"/>
    <mergeCell ref="N22:P22"/>
    <mergeCell ref="Q22:S22"/>
    <mergeCell ref="T22:U22"/>
    <mergeCell ref="Y22:AC22"/>
    <mergeCell ref="AD22:AG22"/>
    <mergeCell ref="K56:U56"/>
    <mergeCell ref="V56:W56"/>
    <mergeCell ref="X56:AC56"/>
    <mergeCell ref="Y34:AC34"/>
    <mergeCell ref="Q31:S31"/>
    <mergeCell ref="Q32:S32"/>
    <mergeCell ref="Q33:S33"/>
    <mergeCell ref="Q34:S34"/>
    <mergeCell ref="AD31:AG31"/>
    <mergeCell ref="AD32:AG32"/>
    <mergeCell ref="AD33:AG33"/>
    <mergeCell ref="AD56:AG56"/>
    <mergeCell ref="AD54:AG54"/>
    <mergeCell ref="K55:U55"/>
    <mergeCell ref="AD34:AG34"/>
    <mergeCell ref="AD35:AG35"/>
    <mergeCell ref="Y31:AC31"/>
    <mergeCell ref="A33:P33"/>
    <mergeCell ref="A34:P34"/>
    <mergeCell ref="A35:P35"/>
    <mergeCell ref="K54:U54"/>
    <mergeCell ref="V54:W54"/>
    <mergeCell ref="X54:AC54"/>
    <mergeCell ref="Y32:AC32"/>
    <mergeCell ref="Y33:AC33"/>
    <mergeCell ref="A50:P50"/>
    <mergeCell ref="Q50:S50"/>
    <mergeCell ref="T50:V50"/>
    <mergeCell ref="W50:X50"/>
    <mergeCell ref="Y50:AC50"/>
    <mergeCell ref="A47:P47"/>
    <mergeCell ref="Q47:S47"/>
    <mergeCell ref="T47:V47"/>
    <mergeCell ref="W47:X47"/>
    <mergeCell ref="Y47:AC47"/>
    <mergeCell ref="A42:P42"/>
    <mergeCell ref="Q42:S42"/>
    <mergeCell ref="T42:V42"/>
    <mergeCell ref="W42:X42"/>
    <mergeCell ref="V55:W55"/>
    <mergeCell ref="X55:AC55"/>
    <mergeCell ref="AD55:AG55"/>
    <mergeCell ref="A52:P52"/>
    <mergeCell ref="Q52:S52"/>
    <mergeCell ref="T52:V52"/>
    <mergeCell ref="X52:AC52"/>
    <mergeCell ref="AD52:AG52"/>
    <mergeCell ref="V53:W53"/>
    <mergeCell ref="X53:AC53"/>
    <mergeCell ref="AD53:AG53"/>
    <mergeCell ref="AD50:AG50"/>
    <mergeCell ref="A49:P49"/>
    <mergeCell ref="Q49:S49"/>
    <mergeCell ref="T49:V49"/>
    <mergeCell ref="W49:X49"/>
    <mergeCell ref="Y49:AC49"/>
    <mergeCell ref="AD49:AG49"/>
    <mergeCell ref="A48:P48"/>
    <mergeCell ref="Q48:S48"/>
    <mergeCell ref="T48:V48"/>
    <mergeCell ref="W48:X48"/>
    <mergeCell ref="Y48:AC48"/>
    <mergeCell ref="AD48:AG48"/>
    <mergeCell ref="AD47:AG47"/>
    <mergeCell ref="AD44:AG44"/>
    <mergeCell ref="A46:P46"/>
    <mergeCell ref="Q46:S46"/>
    <mergeCell ref="T46:V46"/>
    <mergeCell ref="W46:X46"/>
    <mergeCell ref="Y46:AC46"/>
    <mergeCell ref="AD46:AG46"/>
    <mergeCell ref="A43:P43"/>
    <mergeCell ref="T43:V43"/>
    <mergeCell ref="W43:X43"/>
    <mergeCell ref="Y43:AC43"/>
    <mergeCell ref="AD43:AG43"/>
    <mergeCell ref="A44:P44"/>
    <mergeCell ref="Q44:S44"/>
    <mergeCell ref="T44:V44"/>
    <mergeCell ref="W44:X44"/>
    <mergeCell ref="Y44:AC44"/>
    <mergeCell ref="Y42:AC42"/>
    <mergeCell ref="AD42:AG42"/>
    <mergeCell ref="A41:P41"/>
    <mergeCell ref="Q41:S41"/>
    <mergeCell ref="T41:V41"/>
    <mergeCell ref="W41:X41"/>
    <mergeCell ref="Y41:AC41"/>
    <mergeCell ref="AD41:AG41"/>
    <mergeCell ref="A40:P40"/>
    <mergeCell ref="Q40:S40"/>
    <mergeCell ref="T40:V40"/>
    <mergeCell ref="W40:X40"/>
    <mergeCell ref="Y40:AC40"/>
    <mergeCell ref="AD40:AG40"/>
    <mergeCell ref="A39:P39"/>
    <mergeCell ref="Q39:S39"/>
    <mergeCell ref="T39:V39"/>
    <mergeCell ref="W39:X39"/>
    <mergeCell ref="Y39:AC39"/>
    <mergeCell ref="AD39:AG39"/>
    <mergeCell ref="A37:P37"/>
    <mergeCell ref="Q37:S37"/>
    <mergeCell ref="T37:V37"/>
    <mergeCell ref="W37:X37"/>
    <mergeCell ref="Y37:AC37"/>
    <mergeCell ref="AD37:AG37"/>
    <mergeCell ref="A36:P36"/>
    <mergeCell ref="Q36:S36"/>
    <mergeCell ref="T36:V36"/>
    <mergeCell ref="W36:X36"/>
    <mergeCell ref="Y36:AC36"/>
    <mergeCell ref="AD36:AG36"/>
    <mergeCell ref="A28:P28"/>
    <mergeCell ref="Q30:S30"/>
    <mergeCell ref="T28:V28"/>
    <mergeCell ref="W28:X28"/>
    <mergeCell ref="Y28:AC28"/>
    <mergeCell ref="AD28:AG28"/>
    <mergeCell ref="Q28:S28"/>
    <mergeCell ref="Q29:S29"/>
    <mergeCell ref="T29:V29"/>
    <mergeCell ref="T30:V30"/>
    <mergeCell ref="A29:P29"/>
    <mergeCell ref="A30:P30"/>
    <mergeCell ref="Y29:AC29"/>
    <mergeCell ref="AD29:AG29"/>
    <mergeCell ref="AD30:AG30"/>
    <mergeCell ref="Y30:AC30"/>
    <mergeCell ref="A31:P31"/>
    <mergeCell ref="A32:P32"/>
    <mergeCell ref="A27:P27"/>
    <mergeCell ref="Q27:S27"/>
    <mergeCell ref="T27:V27"/>
    <mergeCell ref="W27:X27"/>
    <mergeCell ref="Y27:AC27"/>
    <mergeCell ref="AD27:AG27"/>
    <mergeCell ref="A26:P26"/>
    <mergeCell ref="Q26:S26"/>
    <mergeCell ref="T26:V26"/>
    <mergeCell ref="W26:X26"/>
    <mergeCell ref="Y26:AC26"/>
    <mergeCell ref="AD26:AG26"/>
    <mergeCell ref="A24:P24"/>
    <mergeCell ref="Q24:S24"/>
    <mergeCell ref="V24:X24"/>
    <mergeCell ref="Y24:AC24"/>
    <mergeCell ref="AD24:AG24"/>
    <mergeCell ref="A25:P25"/>
    <mergeCell ref="A23:P23"/>
    <mergeCell ref="Q23:S23"/>
    <mergeCell ref="T23:V23"/>
    <mergeCell ref="W23:X23"/>
    <mergeCell ref="Y23:AC23"/>
    <mergeCell ref="AD23:AG23"/>
    <mergeCell ref="Q20:S20"/>
    <mergeCell ref="Y20:AC20"/>
    <mergeCell ref="AD20:AG20"/>
    <mergeCell ref="AD18:AG18"/>
    <mergeCell ref="A21:M21"/>
    <mergeCell ref="N21:P21"/>
    <mergeCell ref="Q21:S21"/>
    <mergeCell ref="T21:U21"/>
    <mergeCell ref="V21:X21"/>
    <mergeCell ref="Y21:AC21"/>
    <mergeCell ref="AD21:AG21"/>
    <mergeCell ref="A18:M18"/>
    <mergeCell ref="N18:P18"/>
    <mergeCell ref="Q18:S18"/>
    <mergeCell ref="T18:U18"/>
    <mergeCell ref="V18:X18"/>
    <mergeCell ref="Y18:AC18"/>
    <mergeCell ref="A19:M19"/>
    <mergeCell ref="N19:P19"/>
    <mergeCell ref="Q19:S19"/>
    <mergeCell ref="T19:U19"/>
    <mergeCell ref="V19:X19"/>
    <mergeCell ref="Y19:AC19"/>
    <mergeCell ref="AD19:AG19"/>
    <mergeCell ref="J13:AG13"/>
    <mergeCell ref="A14:I14"/>
    <mergeCell ref="J14:AG14"/>
    <mergeCell ref="A16:M16"/>
    <mergeCell ref="N16:P16"/>
    <mergeCell ref="Q16:S16"/>
    <mergeCell ref="T16:U16"/>
    <mergeCell ref="V16:X16"/>
    <mergeCell ref="Y16:AC16"/>
    <mergeCell ref="A1:N1"/>
    <mergeCell ref="S1:W1"/>
    <mergeCell ref="X1:AG1"/>
    <mergeCell ref="S2:W2"/>
    <mergeCell ref="X2:AG2"/>
    <mergeCell ref="S3:W3"/>
    <mergeCell ref="X3:AG3"/>
    <mergeCell ref="A10:E10"/>
    <mergeCell ref="G10:N10"/>
    <mergeCell ref="S10:W10"/>
    <mergeCell ref="Y10:AG10"/>
    <mergeCell ref="A8:E8"/>
    <mergeCell ref="G8:N8"/>
    <mergeCell ref="S8:W8"/>
    <mergeCell ref="Y8:AG8"/>
    <mergeCell ref="A9:E9"/>
    <mergeCell ref="G9:N9"/>
    <mergeCell ref="S9:W9"/>
    <mergeCell ref="Y9:AG9"/>
    <mergeCell ref="A20:M20"/>
    <mergeCell ref="N20:P20"/>
    <mergeCell ref="T20:U20"/>
    <mergeCell ref="V20:X20"/>
    <mergeCell ref="W29:X29"/>
    <mergeCell ref="S4:W4"/>
    <mergeCell ref="X4:AG4"/>
    <mergeCell ref="S5:W5"/>
    <mergeCell ref="X5:AG5"/>
    <mergeCell ref="S6:W6"/>
    <mergeCell ref="X6:AG6"/>
    <mergeCell ref="A11:E11"/>
    <mergeCell ref="G11:N11"/>
    <mergeCell ref="S11:W11"/>
    <mergeCell ref="Y11:AG11"/>
    <mergeCell ref="AD16:AG16"/>
    <mergeCell ref="A17:M17"/>
    <mergeCell ref="N17:P17"/>
    <mergeCell ref="Q17:S17"/>
    <mergeCell ref="T17:U17"/>
    <mergeCell ref="V17:X17"/>
    <mergeCell ref="Y17:AC17"/>
    <mergeCell ref="AD17:AG17"/>
    <mergeCell ref="A13:I13"/>
  </mergeCells>
  <phoneticPr fontId="12" type="noConversion"/>
  <conditionalFormatting sqref="A8:G8 A13:A14 A15:AG15 A16:A22 N16:AG22 AI17:AJ21 A23:AG23 A24:V24 Y24:AG24 A25:AG26 A27:A35 Q27:AG35 A36:AG51">
    <cfRule type="cellIs" dxfId="7" priority="10" operator="equal">
      <formula>0</formula>
    </cfRule>
  </conditionalFormatting>
  <conditionalFormatting sqref="A52:W52 A53:V56">
    <cfRule type="cellIs" dxfId="6" priority="11" operator="equal">
      <formula>0</formula>
    </cfRule>
  </conditionalFormatting>
  <conditionalFormatting sqref="L8:Q11">
    <cfRule type="cellIs" dxfId="5" priority="9" operator="equal">
      <formula>0</formula>
    </cfRule>
  </conditionalFormatting>
  <conditionalFormatting sqref="L11:AG11">
    <cfRule type="cellIs" dxfId="4" priority="7" operator="equal">
      <formula>0</formula>
    </cfRule>
  </conditionalFormatting>
  <conditionalFormatting sqref="R8:R9">
    <cfRule type="cellIs" dxfId="3" priority="8" operator="equal">
      <formula>0</formula>
    </cfRule>
  </conditionalFormatting>
  <conditionalFormatting sqref="X52:X56">
    <cfRule type="cellIs" dxfId="2" priority="5" operator="equal">
      <formula>0</formula>
    </cfRule>
  </conditionalFormatting>
  <conditionalFormatting sqref="Z8:Z11">
    <cfRule type="cellIs" dxfId="1" priority="6" operator="equal">
      <formula>0</formula>
    </cfRule>
  </conditionalFormatting>
  <conditionalFormatting sqref="AD52:AG56">
    <cfRule type="cellIs" dxfId="0" priority="4" operator="equal">
      <formula>0</formula>
    </cfRule>
  </conditionalFormatting>
  <hyperlinks>
    <hyperlink ref="X5" r:id="rId1" xr:uid="{18CB6902-59AF-4F26-B632-215EF00D6642}"/>
    <hyperlink ref="Y10" r:id="rId2" xr:uid="{57DDA9D6-B842-4D72-ABE5-127EF2CB1DD7}"/>
  </hyperlinks>
  <printOptions horizontalCentered="1"/>
  <pageMargins left="0.51181102362204722" right="0.51181102362204722" top="0.55118110236220474" bottom="0.51181102362204722" header="0.51181102362204722" footer="0.43307086614173229"/>
  <pageSetup scale="6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Mecwell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Farías A.</dc:creator>
  <cp:lastModifiedBy>Leon Saavedra Pablo (NORACID)</cp:lastModifiedBy>
  <cp:lastPrinted>2026-04-13T15:46:37Z</cp:lastPrinted>
  <dcterms:created xsi:type="dcterms:W3CDTF">2018-11-13T11:05:17Z</dcterms:created>
  <dcterms:modified xsi:type="dcterms:W3CDTF">2026-04-29T16:52:32Z</dcterms:modified>
</cp:coreProperties>
</file>